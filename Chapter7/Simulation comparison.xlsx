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ias\Dropbox\AIbook\Chapter drafts and materials\Chapter 7\"/>
    </mc:Choice>
  </mc:AlternateContent>
  <xr:revisionPtr revIDLastSave="0" documentId="8_{559A2ECE-7063-4B6E-BDCE-20467BFF850F}" xr6:coauthVersionLast="47" xr6:coauthVersionMax="47" xr10:uidLastSave="{00000000-0000-0000-0000-000000000000}"/>
  <bookViews>
    <workbookView xWindow="-110" yWindow="-110" windowWidth="19420" windowHeight="10420" xr2:uid="{0E1C67C4-6657-41FE-8DBD-7CDE5A82C342}"/>
  </bookViews>
  <sheets>
    <sheet name="Hoja4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4" i="1" l="1"/>
  <c r="C13" i="1"/>
  <c r="C12" i="1"/>
  <c r="C11" i="1"/>
  <c r="C10" i="1"/>
  <c r="C9" i="1"/>
  <c r="C8" i="1"/>
  <c r="C7" i="1"/>
  <c r="C6" i="1"/>
  <c r="C5" i="1"/>
  <c r="C4" i="1"/>
  <c r="C3" i="1"/>
</calcChain>
</file>

<file path=xl/sharedStrings.xml><?xml version="1.0" encoding="utf-8"?>
<sst xmlns="http://schemas.openxmlformats.org/spreadsheetml/2006/main" count="5" uniqueCount="5">
  <si>
    <t>Aspen sim</t>
  </si>
  <si>
    <t>N feed</t>
  </si>
  <si>
    <t>RR2</t>
  </si>
  <si>
    <t>QR2, Process simulator</t>
  </si>
  <si>
    <t>QR2, ANN surrogate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</si>
</sst>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Comparison Simulator vs ANN surrogate model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Hoja4!$A$3:$A$14</c:f>
              <c:numCache>
                <c:formatCode>General</c:formatCode>
                <c:ptCount val="12"/>
                <c:pt idx="0">
                  <c:v>13</c:v>
                </c:pt>
                <c:pt idx="1">
                  <c:v>15</c:v>
                </c:pt>
                <c:pt idx="2">
                  <c:v>17</c:v>
                </c:pt>
                <c:pt idx="3">
                  <c:v>19</c:v>
                </c:pt>
                <c:pt idx="4">
                  <c:v>21</c:v>
                </c:pt>
                <c:pt idx="5">
                  <c:v>23</c:v>
                </c:pt>
                <c:pt idx="6">
                  <c:v>25</c:v>
                </c:pt>
                <c:pt idx="7">
                  <c:v>26</c:v>
                </c:pt>
                <c:pt idx="8">
                  <c:v>27</c:v>
                </c:pt>
                <c:pt idx="9">
                  <c:v>28</c:v>
                </c:pt>
                <c:pt idx="10">
                  <c:v>29</c:v>
                </c:pt>
                <c:pt idx="11">
                  <c:v>30</c:v>
                </c:pt>
              </c:numCache>
            </c:numRef>
          </c:xVal>
          <c:yVal>
            <c:numRef>
              <c:f>Hoja4!$C$3:$C$14</c:f>
              <c:numCache>
                <c:formatCode>0.00</c:formatCode>
                <c:ptCount val="12"/>
                <c:pt idx="0">
                  <c:v>165.00946900000002</c:v>
                </c:pt>
                <c:pt idx="1">
                  <c:v>169.66385600000001</c:v>
                </c:pt>
                <c:pt idx="2">
                  <c:v>174.274034</c:v>
                </c:pt>
                <c:pt idx="3">
                  <c:v>180.55680699999999</c:v>
                </c:pt>
                <c:pt idx="4">
                  <c:v>188.462681</c:v>
                </c:pt>
                <c:pt idx="5">
                  <c:v>199.046392</c:v>
                </c:pt>
                <c:pt idx="6">
                  <c:v>213.78561400000001</c:v>
                </c:pt>
                <c:pt idx="7">
                  <c:v>224.153402</c:v>
                </c:pt>
                <c:pt idx="8">
                  <c:v>238.76644899999999</c:v>
                </c:pt>
                <c:pt idx="9">
                  <c:v>441.01077500000002</c:v>
                </c:pt>
                <c:pt idx="10">
                  <c:v>453.72807799999998</c:v>
                </c:pt>
                <c:pt idx="11">
                  <c:v>464.43194699999998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47E-455E-88A9-51609533787B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Hoja4!$A$3:$A$14</c:f>
              <c:numCache>
                <c:formatCode>General</c:formatCode>
                <c:ptCount val="12"/>
                <c:pt idx="0">
                  <c:v>13</c:v>
                </c:pt>
                <c:pt idx="1">
                  <c:v>15</c:v>
                </c:pt>
                <c:pt idx="2">
                  <c:v>17</c:v>
                </c:pt>
                <c:pt idx="3">
                  <c:v>19</c:v>
                </c:pt>
                <c:pt idx="4">
                  <c:v>21</c:v>
                </c:pt>
                <c:pt idx="5">
                  <c:v>23</c:v>
                </c:pt>
                <c:pt idx="6">
                  <c:v>25</c:v>
                </c:pt>
                <c:pt idx="7">
                  <c:v>26</c:v>
                </c:pt>
                <c:pt idx="8">
                  <c:v>27</c:v>
                </c:pt>
                <c:pt idx="9">
                  <c:v>28</c:v>
                </c:pt>
                <c:pt idx="10">
                  <c:v>29</c:v>
                </c:pt>
                <c:pt idx="11">
                  <c:v>30</c:v>
                </c:pt>
              </c:numCache>
            </c:numRef>
          </c:xVal>
          <c:yVal>
            <c:numRef>
              <c:f>Hoja4!$D$3:$D$14</c:f>
              <c:numCache>
                <c:formatCode>General</c:formatCode>
                <c:ptCount val="12"/>
                <c:pt idx="0">
                  <c:v>160.07</c:v>
                </c:pt>
                <c:pt idx="1">
                  <c:v>164.09</c:v>
                </c:pt>
                <c:pt idx="2">
                  <c:v>169.3</c:v>
                </c:pt>
                <c:pt idx="3">
                  <c:v>175.94</c:v>
                </c:pt>
                <c:pt idx="4">
                  <c:v>184.36</c:v>
                </c:pt>
                <c:pt idx="5">
                  <c:v>195.21</c:v>
                </c:pt>
                <c:pt idx="6">
                  <c:v>209.99</c:v>
                </c:pt>
                <c:pt idx="7">
                  <c:v>220.04</c:v>
                </c:pt>
                <c:pt idx="8">
                  <c:v>234.03</c:v>
                </c:pt>
                <c:pt idx="9">
                  <c:v>411.1</c:v>
                </c:pt>
                <c:pt idx="10">
                  <c:v>423.18</c:v>
                </c:pt>
                <c:pt idx="11">
                  <c:v>433.76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47E-455E-88A9-5160953378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4022575"/>
        <c:axId val="399698431"/>
      </c:scatterChart>
      <c:valAx>
        <c:axId val="5940225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NFEED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99698431"/>
        <c:crosses val="autoZero"/>
        <c:crossBetween val="midCat"/>
      </c:valAx>
      <c:valAx>
        <c:axId val="399698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QR2 (kW)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940225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609600</xdr:colOff>
      <xdr:row>0</xdr:row>
      <xdr:rowOff>165100</xdr:rowOff>
    </xdr:from>
    <xdr:to>
      <xdr:col>11</xdr:col>
      <xdr:colOff>609600</xdr:colOff>
      <xdr:row>16</xdr:row>
      <xdr:rowOff>9525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BD3C4E6-A629-47AA-BB3D-603AB2C8A8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Documents/Antigravity/Chapter7/FINAL2/Optim%202000%20kgperh.xlsx" TargetMode="External"/><Relationship Id="rId2" Type="http://schemas.openxmlformats.org/officeDocument/2006/relationships/externalLinkPath" Target="file:///C:\Users\elias\Documents\Antigravity\Chapter7\FINAL2\Optim%202000%20kgperh.xlsx" TargetMode="External"/><Relationship Id="rId1" Type="http://schemas.openxmlformats.org/officeDocument/2006/relationships/externalLinkPath" Target="/Users/elias/Documents/Antigravity/Chapter7/FINAL2/Optim%202000%20kgperh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Hoja1"/>
      <sheetName val="Hoja2"/>
      <sheetName val="Hoja3"/>
      <sheetName val="Hoja4"/>
    </sheetNames>
    <sheetDataSet>
      <sheetData sheetId="0"/>
      <sheetData sheetId="1"/>
      <sheetData sheetId="2"/>
      <sheetData sheetId="3">
        <row r="3">
          <cell r="A3">
            <v>13</v>
          </cell>
          <cell r="C3">
            <v>165.00946900000002</v>
          </cell>
          <cell r="D3">
            <v>160.07</v>
          </cell>
        </row>
        <row r="4">
          <cell r="A4">
            <v>15</v>
          </cell>
          <cell r="C4">
            <v>169.66385600000001</v>
          </cell>
          <cell r="D4">
            <v>164.09</v>
          </cell>
        </row>
        <row r="5">
          <cell r="A5">
            <v>17</v>
          </cell>
          <cell r="C5">
            <v>174.274034</v>
          </cell>
          <cell r="D5">
            <v>169.3</v>
          </cell>
        </row>
        <row r="6">
          <cell r="A6">
            <v>19</v>
          </cell>
          <cell r="C6">
            <v>180.55680699999999</v>
          </cell>
          <cell r="D6">
            <v>175.94</v>
          </cell>
        </row>
        <row r="7">
          <cell r="A7">
            <v>21</v>
          </cell>
          <cell r="C7">
            <v>188.462681</v>
          </cell>
          <cell r="D7">
            <v>184.36</v>
          </cell>
        </row>
        <row r="8">
          <cell r="A8">
            <v>23</v>
          </cell>
          <cell r="C8">
            <v>199.046392</v>
          </cell>
          <cell r="D8">
            <v>195.21</v>
          </cell>
        </row>
        <row r="9">
          <cell r="A9">
            <v>25</v>
          </cell>
          <cell r="C9">
            <v>213.78561400000001</v>
          </cell>
          <cell r="D9">
            <v>209.99</v>
          </cell>
        </row>
        <row r="10">
          <cell r="A10">
            <v>26</v>
          </cell>
          <cell r="C10">
            <v>224.153402</v>
          </cell>
          <cell r="D10">
            <v>220.04</v>
          </cell>
        </row>
        <row r="11">
          <cell r="A11">
            <v>27</v>
          </cell>
          <cell r="C11">
            <v>238.76644899999999</v>
          </cell>
          <cell r="D11">
            <v>234.03</v>
          </cell>
        </row>
        <row r="12">
          <cell r="A12">
            <v>28</v>
          </cell>
          <cell r="C12">
            <v>441.01077500000002</v>
          </cell>
          <cell r="D12">
            <v>411.1</v>
          </cell>
        </row>
        <row r="13">
          <cell r="A13">
            <v>29</v>
          </cell>
          <cell r="C13">
            <v>453.72807799999998</v>
          </cell>
          <cell r="D13">
            <v>423.18</v>
          </cell>
        </row>
        <row r="14">
          <cell r="A14">
            <v>30</v>
          </cell>
          <cell r="C14">
            <v>464.43194699999998</v>
          </cell>
          <cell r="D14">
            <v>433.76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DE9D3-4C5D-4B25-A584-CF5A15FE5849}">
  <dimension ref="A1:D14"/>
  <sheetViews>
    <sheetView tabSelected="1" workbookViewId="0">
      <selection activeCell="M10" sqref="M10"/>
    </sheetView>
  </sheetViews>
  <sheetFormatPr baseColWidth="10" defaultRowHeight="14.5" x14ac:dyDescent="0.35"/>
  <sheetData>
    <row r="1" spans="1:4" x14ac:dyDescent="0.35">
      <c r="C1" t="s">
        <v>0</v>
      </c>
    </row>
    <row r="2" spans="1:4" x14ac:dyDescent="0.35">
      <c r="A2" t="s">
        <v>1</v>
      </c>
      <c r="B2" t="s">
        <v>2</v>
      </c>
      <c r="C2" t="s">
        <v>3</v>
      </c>
      <c r="D2" t="s">
        <v>4</v>
      </c>
    </row>
    <row r="3" spans="1:4" x14ac:dyDescent="0.35">
      <c r="A3">
        <v>13</v>
      </c>
      <c r="B3">
        <v>0.24299999999999999</v>
      </c>
      <c r="C3" s="1">
        <f>165009.469/1000</f>
        <v>165.00946900000002</v>
      </c>
      <c r="D3">
        <v>160.07</v>
      </c>
    </row>
    <row r="4" spans="1:4" x14ac:dyDescent="0.35">
      <c r="A4">
        <v>15</v>
      </c>
      <c r="B4">
        <v>0.27500000000000002</v>
      </c>
      <c r="C4" s="1">
        <f>169663.856/1000</f>
        <v>169.66385600000001</v>
      </c>
      <c r="D4">
        <v>164.09</v>
      </c>
    </row>
    <row r="5" spans="1:4" x14ac:dyDescent="0.35">
      <c r="A5">
        <v>17</v>
      </c>
      <c r="B5">
        <v>0.316</v>
      </c>
      <c r="C5" s="1">
        <f>174274.034/1000</f>
        <v>174.274034</v>
      </c>
      <c r="D5">
        <v>169.3</v>
      </c>
    </row>
    <row r="6" spans="1:4" x14ac:dyDescent="0.35">
      <c r="A6">
        <v>19</v>
      </c>
      <c r="B6">
        <v>0.36899999999999999</v>
      </c>
      <c r="C6" s="1">
        <f>180556.807/1000</f>
        <v>180.55680699999999</v>
      </c>
      <c r="D6">
        <v>175.94</v>
      </c>
    </row>
    <row r="7" spans="1:4" x14ac:dyDescent="0.35">
      <c r="A7">
        <v>21</v>
      </c>
      <c r="B7">
        <v>0.436</v>
      </c>
      <c r="C7" s="1">
        <f>188462.681/1000</f>
        <v>188.462681</v>
      </c>
      <c r="D7">
        <v>184.36</v>
      </c>
    </row>
    <row r="8" spans="1:4" x14ac:dyDescent="0.35">
      <c r="A8">
        <v>23</v>
      </c>
      <c r="B8">
        <v>0.52500000000000002</v>
      </c>
      <c r="C8" s="1">
        <f>199046.392/1000</f>
        <v>199.046392</v>
      </c>
      <c r="D8">
        <v>195.21</v>
      </c>
    </row>
    <row r="9" spans="1:4" x14ac:dyDescent="0.35">
      <c r="A9">
        <v>25</v>
      </c>
      <c r="B9">
        <v>0.64900000000000002</v>
      </c>
      <c r="C9" s="1">
        <f>213785.614/1000</f>
        <v>213.78561400000001</v>
      </c>
      <c r="D9">
        <v>209.99</v>
      </c>
    </row>
    <row r="10" spans="1:4" x14ac:dyDescent="0.35">
      <c r="A10">
        <v>26</v>
      </c>
      <c r="B10">
        <v>0.73499999999999999</v>
      </c>
      <c r="C10" s="1">
        <f>224153.402/1000</f>
        <v>224.153402</v>
      </c>
      <c r="D10">
        <v>220.04</v>
      </c>
    </row>
    <row r="11" spans="1:4" x14ac:dyDescent="0.35">
      <c r="A11">
        <v>27</v>
      </c>
      <c r="B11">
        <v>0.85899999999999999</v>
      </c>
      <c r="C11" s="1">
        <f>238766.449/1000</f>
        <v>238.76644899999999</v>
      </c>
      <c r="D11">
        <v>234.03</v>
      </c>
    </row>
    <row r="12" spans="1:4" x14ac:dyDescent="0.35">
      <c r="A12">
        <v>28</v>
      </c>
      <c r="B12">
        <v>2.5670000000000002</v>
      </c>
      <c r="C12" s="1">
        <f>441010.775/1000</f>
        <v>441.01077500000002</v>
      </c>
      <c r="D12">
        <v>411.1</v>
      </c>
    </row>
    <row r="13" spans="1:4" x14ac:dyDescent="0.35">
      <c r="A13">
        <v>29</v>
      </c>
      <c r="B13">
        <v>2.6709999999999998</v>
      </c>
      <c r="C13" s="1">
        <f>453728.078/1000</f>
        <v>453.72807799999998</v>
      </c>
      <c r="D13">
        <v>423.18</v>
      </c>
    </row>
    <row r="14" spans="1:4" x14ac:dyDescent="0.35">
      <c r="A14">
        <v>30</v>
      </c>
      <c r="B14">
        <v>2.758</v>
      </c>
      <c r="C14" s="1">
        <f>464431.947/1000</f>
        <v>464.43194699999998</v>
      </c>
      <c r="D14">
        <v>433.76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Elias Martinez</dc:creator>
  <cp:lastModifiedBy>Elias Martinez</cp:lastModifiedBy>
  <dcterms:created xsi:type="dcterms:W3CDTF">2026-09-18T04:41:05Z</dcterms:created>
  <dcterms:modified xsi:type="dcterms:W3CDTF">2026-09-18T04:43:11Z</dcterms:modified>
</cp:coreProperties>
</file>