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Mejoras Modelo final08042026\Modelo Final06062026\Datos\"/>
    </mc:Choice>
  </mc:AlternateContent>
  <xr:revisionPtr revIDLastSave="0" documentId="13_ncr:1_{7FB626F2-9C67-4A70-B9EA-A2AFC497C088}" xr6:coauthVersionLast="47" xr6:coauthVersionMax="47" xr10:uidLastSave="{00000000-0000-0000-0000-000000000000}"/>
  <bookViews>
    <workbookView xWindow="-120" yWindow="-120" windowWidth="20730" windowHeight="11160" xr2:uid="{AF5FFB9B-DCE8-44CE-B766-0FC87B9720C8}"/>
  </bookViews>
  <sheets>
    <sheet name="Hoja1" sheetId="1" r:id="rId1"/>
    <sheet name="Sheet1" sheetId="2" r:id="rId2"/>
  </sheets>
  <definedNames>
    <definedName name="_xlnm._FilterDatabase" localSheetId="0" hidden="1">Hoja1!$A$1:$AM$360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0" i="2" l="1"/>
  <c r="K3" i="2"/>
  <c r="L3" i="2"/>
  <c r="M3" i="2"/>
  <c r="N3" i="2"/>
  <c r="K4" i="2"/>
  <c r="L4" i="2"/>
  <c r="M4" i="2"/>
  <c r="N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K14" i="2"/>
  <c r="L14" i="2"/>
  <c r="M14" i="2"/>
  <c r="N14" i="2"/>
  <c r="K15" i="2"/>
  <c r="L15" i="2"/>
  <c r="M15" i="2"/>
  <c r="N15" i="2"/>
  <c r="K16" i="2"/>
  <c r="L16" i="2"/>
  <c r="M16" i="2"/>
  <c r="N16" i="2"/>
  <c r="K17" i="2"/>
  <c r="L17" i="2"/>
  <c r="M17" i="2"/>
  <c r="N17" i="2"/>
  <c r="K18" i="2"/>
  <c r="L18" i="2"/>
  <c r="M18" i="2"/>
  <c r="N18" i="2"/>
  <c r="K19" i="2"/>
  <c r="L19" i="2"/>
  <c r="M19" i="2"/>
  <c r="N19" i="2"/>
  <c r="K20" i="2"/>
  <c r="L20" i="2"/>
  <c r="M20" i="2"/>
  <c r="N20" i="2"/>
  <c r="K21" i="2"/>
  <c r="L21" i="2"/>
  <c r="M21" i="2"/>
  <c r="N21" i="2"/>
  <c r="K22" i="2"/>
  <c r="L22" i="2"/>
  <c r="M22" i="2"/>
  <c r="N22" i="2"/>
  <c r="K23" i="2"/>
  <c r="L23" i="2"/>
  <c r="M23" i="2"/>
  <c r="N23" i="2"/>
  <c r="K24" i="2"/>
  <c r="L24" i="2"/>
  <c r="M24" i="2"/>
  <c r="N24" i="2"/>
  <c r="K25" i="2"/>
  <c r="L25" i="2"/>
  <c r="M25" i="2"/>
  <c r="N25" i="2"/>
  <c r="K26" i="2"/>
  <c r="L26" i="2"/>
  <c r="M26" i="2"/>
  <c r="N26" i="2"/>
  <c r="K27" i="2"/>
  <c r="L27" i="2"/>
  <c r="M27" i="2"/>
  <c r="N27" i="2"/>
  <c r="K28" i="2"/>
  <c r="L28" i="2"/>
  <c r="M28" i="2"/>
  <c r="N28" i="2"/>
  <c r="K29" i="2"/>
  <c r="L29" i="2"/>
  <c r="M29" i="2"/>
  <c r="N29" i="2"/>
  <c r="K30" i="2"/>
  <c r="L30" i="2"/>
  <c r="M30" i="2"/>
  <c r="N30" i="2"/>
  <c r="K31" i="2"/>
  <c r="L31" i="2"/>
  <c r="M31" i="2"/>
  <c r="N31" i="2"/>
  <c r="K32" i="2"/>
  <c r="L32" i="2"/>
  <c r="M32" i="2"/>
  <c r="N32" i="2"/>
  <c r="K33" i="2"/>
  <c r="L33" i="2"/>
  <c r="M33" i="2"/>
  <c r="N33" i="2"/>
  <c r="K34" i="2"/>
  <c r="L34" i="2"/>
  <c r="M34" i="2"/>
  <c r="N34" i="2"/>
  <c r="K35" i="2"/>
  <c r="L35" i="2"/>
  <c r="M35" i="2"/>
  <c r="N35" i="2"/>
  <c r="K36" i="2"/>
  <c r="L36" i="2"/>
  <c r="M36" i="2"/>
  <c r="N36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43" i="2"/>
  <c r="L43" i="2"/>
  <c r="M43" i="2"/>
  <c r="N43" i="2"/>
  <c r="K44" i="2"/>
  <c r="L44" i="2"/>
  <c r="M44" i="2"/>
  <c r="N44" i="2"/>
  <c r="K45" i="2"/>
  <c r="L45" i="2"/>
  <c r="M45" i="2"/>
  <c r="N45" i="2"/>
  <c r="K46" i="2"/>
  <c r="L46" i="2"/>
  <c r="M46" i="2"/>
  <c r="N46" i="2"/>
  <c r="K47" i="2"/>
  <c r="L47" i="2"/>
  <c r="M47" i="2"/>
  <c r="N47" i="2"/>
  <c r="K48" i="2"/>
  <c r="L48" i="2"/>
  <c r="M48" i="2"/>
  <c r="N48" i="2"/>
  <c r="K49" i="2"/>
  <c r="L49" i="2"/>
  <c r="M49" i="2"/>
  <c r="N49" i="2"/>
  <c r="K50" i="2"/>
  <c r="L50" i="2"/>
  <c r="M50" i="2"/>
  <c r="N50" i="2"/>
  <c r="K51" i="2"/>
  <c r="L51" i="2"/>
  <c r="M51" i="2"/>
  <c r="N51" i="2"/>
  <c r="K52" i="2"/>
  <c r="L52" i="2"/>
  <c r="M52" i="2"/>
  <c r="N52" i="2"/>
  <c r="K53" i="2"/>
  <c r="L53" i="2"/>
  <c r="M53" i="2"/>
  <c r="N53" i="2"/>
  <c r="K54" i="2"/>
  <c r="L54" i="2"/>
  <c r="M54" i="2"/>
  <c r="N54" i="2"/>
  <c r="K55" i="2"/>
  <c r="L55" i="2"/>
  <c r="M55" i="2"/>
  <c r="N55" i="2"/>
  <c r="K56" i="2"/>
  <c r="L56" i="2"/>
  <c r="M56" i="2"/>
  <c r="N56" i="2"/>
  <c r="K57" i="2"/>
  <c r="L57" i="2"/>
  <c r="M57" i="2"/>
  <c r="N57" i="2"/>
  <c r="K58" i="2"/>
  <c r="L58" i="2"/>
  <c r="M58" i="2"/>
  <c r="N58" i="2"/>
  <c r="K59" i="2"/>
  <c r="L59" i="2"/>
  <c r="M59" i="2"/>
  <c r="N59" i="2"/>
  <c r="K60" i="2"/>
  <c r="L60" i="2"/>
  <c r="M60" i="2"/>
  <c r="N60" i="2"/>
  <c r="K61" i="2"/>
  <c r="L61" i="2"/>
  <c r="M61" i="2"/>
  <c r="N61" i="2"/>
  <c r="K62" i="2"/>
  <c r="L62" i="2"/>
  <c r="M62" i="2"/>
  <c r="N62" i="2"/>
  <c r="K63" i="2"/>
  <c r="L63" i="2"/>
  <c r="M63" i="2"/>
  <c r="N63" i="2"/>
  <c r="K64" i="2"/>
  <c r="L64" i="2"/>
  <c r="M64" i="2"/>
  <c r="N64" i="2"/>
  <c r="K65" i="2"/>
  <c r="L65" i="2"/>
  <c r="M65" i="2"/>
  <c r="N65" i="2"/>
  <c r="K66" i="2"/>
  <c r="L66" i="2"/>
  <c r="M66" i="2"/>
  <c r="N66" i="2"/>
  <c r="K67" i="2"/>
  <c r="L67" i="2"/>
  <c r="M67" i="2"/>
  <c r="N67" i="2"/>
  <c r="K68" i="2"/>
  <c r="L68" i="2"/>
  <c r="M68" i="2"/>
  <c r="N68" i="2"/>
  <c r="K69" i="2"/>
  <c r="L69" i="2"/>
  <c r="M69" i="2"/>
  <c r="N69" i="2"/>
  <c r="K70" i="2"/>
  <c r="L70" i="2"/>
  <c r="M70" i="2"/>
  <c r="N70" i="2"/>
  <c r="K71" i="2"/>
  <c r="L71" i="2"/>
  <c r="M71" i="2"/>
  <c r="N71" i="2"/>
  <c r="K72" i="2"/>
  <c r="L72" i="2"/>
  <c r="M72" i="2"/>
  <c r="N72" i="2"/>
  <c r="K73" i="2"/>
  <c r="L73" i="2"/>
  <c r="M73" i="2"/>
  <c r="N73" i="2"/>
  <c r="K74" i="2"/>
  <c r="L74" i="2"/>
  <c r="M74" i="2"/>
  <c r="N74" i="2"/>
  <c r="K75" i="2"/>
  <c r="L75" i="2"/>
  <c r="M75" i="2"/>
  <c r="N75" i="2"/>
  <c r="K76" i="2"/>
  <c r="L76" i="2"/>
  <c r="M76" i="2"/>
  <c r="N76" i="2"/>
  <c r="K77" i="2"/>
  <c r="L77" i="2"/>
  <c r="M77" i="2"/>
  <c r="N77" i="2"/>
  <c r="K78" i="2"/>
  <c r="L78" i="2"/>
  <c r="M78" i="2"/>
  <c r="N78" i="2"/>
  <c r="K79" i="2"/>
  <c r="L79" i="2"/>
  <c r="M79" i="2"/>
  <c r="N79" i="2"/>
  <c r="K80" i="2"/>
  <c r="L80" i="2"/>
  <c r="M80" i="2"/>
  <c r="N80" i="2"/>
  <c r="K81" i="2"/>
  <c r="L81" i="2"/>
  <c r="M81" i="2"/>
  <c r="N81" i="2"/>
  <c r="K82" i="2"/>
  <c r="L82" i="2"/>
  <c r="M82" i="2"/>
  <c r="N82" i="2"/>
  <c r="K83" i="2"/>
  <c r="L83" i="2"/>
  <c r="M83" i="2"/>
  <c r="N83" i="2"/>
  <c r="K84" i="2"/>
  <c r="L84" i="2"/>
  <c r="M84" i="2"/>
  <c r="N84" i="2"/>
  <c r="K85" i="2"/>
  <c r="L85" i="2"/>
  <c r="M85" i="2"/>
  <c r="N85" i="2"/>
  <c r="K86" i="2"/>
  <c r="L86" i="2"/>
  <c r="M86" i="2"/>
  <c r="N86" i="2"/>
  <c r="K87" i="2"/>
  <c r="L87" i="2"/>
  <c r="M87" i="2"/>
  <c r="N87" i="2"/>
  <c r="K88" i="2"/>
  <c r="L88" i="2"/>
  <c r="M88" i="2"/>
  <c r="N88" i="2"/>
  <c r="K89" i="2"/>
  <c r="L89" i="2"/>
  <c r="M89" i="2"/>
  <c r="N89" i="2"/>
  <c r="K90" i="2"/>
  <c r="L90" i="2"/>
  <c r="M90" i="2"/>
  <c r="N90" i="2"/>
  <c r="K91" i="2"/>
  <c r="L91" i="2"/>
  <c r="M91" i="2"/>
  <c r="N91" i="2"/>
  <c r="K92" i="2"/>
  <c r="L92" i="2"/>
  <c r="M92" i="2"/>
  <c r="N92" i="2"/>
  <c r="K93" i="2"/>
  <c r="L93" i="2"/>
  <c r="M93" i="2"/>
  <c r="N93" i="2"/>
  <c r="K94" i="2"/>
  <c r="L94" i="2"/>
  <c r="M94" i="2"/>
  <c r="N94" i="2"/>
  <c r="K95" i="2"/>
  <c r="L95" i="2"/>
  <c r="M95" i="2"/>
  <c r="N95" i="2"/>
  <c r="K96" i="2"/>
  <c r="L96" i="2"/>
  <c r="M96" i="2"/>
  <c r="N96" i="2"/>
  <c r="K97" i="2"/>
  <c r="L97" i="2"/>
  <c r="M97" i="2"/>
  <c r="N97" i="2"/>
  <c r="K98" i="2"/>
  <c r="L98" i="2"/>
  <c r="M98" i="2"/>
  <c r="N98" i="2"/>
  <c r="K99" i="2"/>
  <c r="L99" i="2"/>
  <c r="M99" i="2"/>
  <c r="N99" i="2"/>
  <c r="K100" i="2"/>
  <c r="L100" i="2"/>
  <c r="M100" i="2"/>
  <c r="N100" i="2"/>
  <c r="K101" i="2"/>
  <c r="L101" i="2"/>
  <c r="M101" i="2"/>
  <c r="N101" i="2"/>
  <c r="K102" i="2"/>
  <c r="L102" i="2"/>
  <c r="M102" i="2"/>
  <c r="N102" i="2"/>
  <c r="K103" i="2"/>
  <c r="L103" i="2"/>
  <c r="M103" i="2"/>
  <c r="N103" i="2"/>
  <c r="K104" i="2"/>
  <c r="L104" i="2"/>
  <c r="M104" i="2"/>
  <c r="N104" i="2"/>
  <c r="K105" i="2"/>
  <c r="L105" i="2"/>
  <c r="M105" i="2"/>
  <c r="N105" i="2"/>
  <c r="K106" i="2"/>
  <c r="L106" i="2"/>
  <c r="M106" i="2"/>
  <c r="N106" i="2"/>
  <c r="K107" i="2"/>
  <c r="L107" i="2"/>
  <c r="M107" i="2"/>
  <c r="N107" i="2"/>
  <c r="K108" i="2"/>
  <c r="L108" i="2"/>
  <c r="M108" i="2"/>
  <c r="N108" i="2"/>
  <c r="K109" i="2"/>
  <c r="L109" i="2"/>
  <c r="M109" i="2"/>
  <c r="N109" i="2"/>
  <c r="K110" i="2"/>
  <c r="L110" i="2"/>
  <c r="M110" i="2"/>
  <c r="N110" i="2"/>
  <c r="K111" i="2"/>
  <c r="L111" i="2"/>
  <c r="M111" i="2"/>
  <c r="N111" i="2"/>
  <c r="K112" i="2"/>
  <c r="L112" i="2"/>
  <c r="M112" i="2"/>
  <c r="N112" i="2"/>
  <c r="K113" i="2"/>
  <c r="L113" i="2"/>
  <c r="M113" i="2"/>
  <c r="N113" i="2"/>
  <c r="K114" i="2"/>
  <c r="L114" i="2"/>
  <c r="M114" i="2"/>
  <c r="N114" i="2"/>
  <c r="K115" i="2"/>
  <c r="L115" i="2"/>
  <c r="M115" i="2"/>
  <c r="N115" i="2"/>
  <c r="K116" i="2"/>
  <c r="L116" i="2"/>
  <c r="M116" i="2"/>
  <c r="N116" i="2"/>
  <c r="K117" i="2"/>
  <c r="L117" i="2"/>
  <c r="M117" i="2"/>
  <c r="N117" i="2"/>
  <c r="K118" i="2"/>
  <c r="L118" i="2"/>
  <c r="M118" i="2"/>
  <c r="N118" i="2"/>
  <c r="K119" i="2"/>
  <c r="L119" i="2"/>
  <c r="M119" i="2"/>
  <c r="N119" i="2"/>
  <c r="K120" i="2"/>
  <c r="L120" i="2"/>
  <c r="M120" i="2"/>
  <c r="N120" i="2"/>
  <c r="K121" i="2"/>
  <c r="L121" i="2"/>
  <c r="M121" i="2"/>
  <c r="N121" i="2"/>
  <c r="K122" i="2"/>
  <c r="L122" i="2"/>
  <c r="M122" i="2"/>
  <c r="N122" i="2"/>
  <c r="K123" i="2"/>
  <c r="L123" i="2"/>
  <c r="M123" i="2"/>
  <c r="N123" i="2"/>
  <c r="K124" i="2"/>
  <c r="L124" i="2"/>
  <c r="M124" i="2"/>
  <c r="N124" i="2"/>
  <c r="K125" i="2"/>
  <c r="L125" i="2"/>
  <c r="M125" i="2"/>
  <c r="N125" i="2"/>
  <c r="K126" i="2"/>
  <c r="L126" i="2"/>
  <c r="M126" i="2"/>
  <c r="N126" i="2"/>
  <c r="K127" i="2"/>
  <c r="L127" i="2"/>
  <c r="M127" i="2"/>
  <c r="N127" i="2"/>
  <c r="K128" i="2"/>
  <c r="L128" i="2"/>
  <c r="M128" i="2"/>
  <c r="N128" i="2"/>
  <c r="K129" i="2"/>
  <c r="L129" i="2"/>
  <c r="M129" i="2"/>
  <c r="N129" i="2"/>
  <c r="K130" i="2"/>
  <c r="L130" i="2"/>
  <c r="M130" i="2"/>
  <c r="N130" i="2"/>
  <c r="K131" i="2"/>
  <c r="L131" i="2"/>
  <c r="M131" i="2"/>
  <c r="N131" i="2"/>
  <c r="K132" i="2"/>
  <c r="L132" i="2"/>
  <c r="M132" i="2"/>
  <c r="N132" i="2"/>
  <c r="K133" i="2"/>
  <c r="L133" i="2"/>
  <c r="M133" i="2"/>
  <c r="N133" i="2"/>
  <c r="K134" i="2"/>
  <c r="L134" i="2"/>
  <c r="M134" i="2"/>
  <c r="N134" i="2"/>
  <c r="K135" i="2"/>
  <c r="L135" i="2"/>
  <c r="M135" i="2"/>
  <c r="N135" i="2"/>
  <c r="K136" i="2"/>
  <c r="L136" i="2"/>
  <c r="M136" i="2"/>
  <c r="N136" i="2"/>
  <c r="K137" i="2"/>
  <c r="L137" i="2"/>
  <c r="M137" i="2"/>
  <c r="N137" i="2"/>
  <c r="K138" i="2"/>
  <c r="L138" i="2"/>
  <c r="M138" i="2"/>
  <c r="N138" i="2"/>
  <c r="K139" i="2"/>
  <c r="L139" i="2"/>
  <c r="M139" i="2"/>
  <c r="N139" i="2"/>
  <c r="K140" i="2"/>
  <c r="L140" i="2"/>
  <c r="M140" i="2"/>
  <c r="N140" i="2"/>
  <c r="K141" i="2"/>
  <c r="L141" i="2"/>
  <c r="M141" i="2"/>
  <c r="N141" i="2"/>
  <c r="K142" i="2"/>
  <c r="L142" i="2"/>
  <c r="M142" i="2"/>
  <c r="N142" i="2"/>
  <c r="K143" i="2"/>
  <c r="L143" i="2"/>
  <c r="M143" i="2"/>
  <c r="N143" i="2"/>
  <c r="K144" i="2"/>
  <c r="L144" i="2"/>
  <c r="M144" i="2"/>
  <c r="N144" i="2"/>
  <c r="K145" i="2"/>
  <c r="L145" i="2"/>
  <c r="M145" i="2"/>
  <c r="N145" i="2"/>
  <c r="K146" i="2"/>
  <c r="L146" i="2"/>
  <c r="M146" i="2"/>
  <c r="N146" i="2"/>
  <c r="K147" i="2"/>
  <c r="L147" i="2"/>
  <c r="M147" i="2"/>
  <c r="N147" i="2"/>
  <c r="K148" i="2"/>
  <c r="L148" i="2"/>
  <c r="M148" i="2"/>
  <c r="N148" i="2"/>
  <c r="K149" i="2"/>
  <c r="L149" i="2"/>
  <c r="M149" i="2"/>
  <c r="N149" i="2"/>
  <c r="K150" i="2"/>
  <c r="L150" i="2"/>
  <c r="M150" i="2"/>
  <c r="N150" i="2"/>
  <c r="K151" i="2"/>
  <c r="L151" i="2"/>
  <c r="M151" i="2"/>
  <c r="N151" i="2"/>
  <c r="K152" i="2"/>
  <c r="L152" i="2"/>
  <c r="M152" i="2"/>
  <c r="N152" i="2"/>
  <c r="K153" i="2"/>
  <c r="L153" i="2"/>
  <c r="M153" i="2"/>
  <c r="N153" i="2"/>
  <c r="K154" i="2"/>
  <c r="L154" i="2"/>
  <c r="M154" i="2"/>
  <c r="N154" i="2"/>
  <c r="K155" i="2"/>
  <c r="L155" i="2"/>
  <c r="M155" i="2"/>
  <c r="N155" i="2"/>
  <c r="K156" i="2"/>
  <c r="L156" i="2"/>
  <c r="M156" i="2"/>
  <c r="N156" i="2"/>
  <c r="K157" i="2"/>
  <c r="L157" i="2"/>
  <c r="M157" i="2"/>
  <c r="N157" i="2"/>
  <c r="K158" i="2"/>
  <c r="L158" i="2"/>
  <c r="M158" i="2"/>
  <c r="N158" i="2"/>
  <c r="K159" i="2"/>
  <c r="L159" i="2"/>
  <c r="M159" i="2"/>
  <c r="N159" i="2"/>
  <c r="K160" i="2"/>
  <c r="L160" i="2"/>
  <c r="M160" i="2"/>
  <c r="N160" i="2"/>
  <c r="K161" i="2"/>
  <c r="L161" i="2"/>
  <c r="M161" i="2"/>
  <c r="N161" i="2"/>
  <c r="K162" i="2"/>
  <c r="L162" i="2"/>
  <c r="M162" i="2"/>
  <c r="N162" i="2"/>
  <c r="K163" i="2"/>
  <c r="L163" i="2"/>
  <c r="M163" i="2"/>
  <c r="N163" i="2"/>
  <c r="K164" i="2"/>
  <c r="L164" i="2"/>
  <c r="M164" i="2"/>
  <c r="N164" i="2"/>
  <c r="K165" i="2"/>
  <c r="L165" i="2"/>
  <c r="M165" i="2"/>
  <c r="N165" i="2"/>
  <c r="K166" i="2"/>
  <c r="L166" i="2"/>
  <c r="M166" i="2"/>
  <c r="N166" i="2"/>
  <c r="K167" i="2"/>
  <c r="L167" i="2"/>
  <c r="M167" i="2"/>
  <c r="N167" i="2"/>
  <c r="K168" i="2"/>
  <c r="L168" i="2"/>
  <c r="M168" i="2"/>
  <c r="N168" i="2"/>
  <c r="K169" i="2"/>
  <c r="L169" i="2"/>
  <c r="M169" i="2"/>
  <c r="N169" i="2"/>
  <c r="K170" i="2"/>
  <c r="L170" i="2"/>
  <c r="M170" i="2"/>
  <c r="N170" i="2"/>
  <c r="K171" i="2"/>
  <c r="L171" i="2"/>
  <c r="M171" i="2"/>
  <c r="N171" i="2"/>
  <c r="K172" i="2"/>
  <c r="L172" i="2"/>
  <c r="M172" i="2"/>
  <c r="N172" i="2"/>
  <c r="K173" i="2"/>
  <c r="L173" i="2"/>
  <c r="M173" i="2"/>
  <c r="N173" i="2"/>
  <c r="K174" i="2"/>
  <c r="L174" i="2"/>
  <c r="M174" i="2"/>
  <c r="N174" i="2"/>
  <c r="K175" i="2"/>
  <c r="L175" i="2"/>
  <c r="M175" i="2"/>
  <c r="N175" i="2"/>
  <c r="K176" i="2"/>
  <c r="L176" i="2"/>
  <c r="M176" i="2"/>
  <c r="N176" i="2"/>
  <c r="K177" i="2"/>
  <c r="L177" i="2"/>
  <c r="M177" i="2"/>
  <c r="N177" i="2"/>
  <c r="K178" i="2"/>
  <c r="L178" i="2"/>
  <c r="M178" i="2"/>
  <c r="N178" i="2"/>
  <c r="K179" i="2"/>
  <c r="L179" i="2"/>
  <c r="M179" i="2"/>
  <c r="N179" i="2"/>
  <c r="K180" i="2"/>
  <c r="L180" i="2"/>
  <c r="M180" i="2"/>
  <c r="N180" i="2"/>
  <c r="K181" i="2"/>
  <c r="L181" i="2"/>
  <c r="M181" i="2"/>
  <c r="N181" i="2"/>
  <c r="K182" i="2"/>
  <c r="L182" i="2"/>
  <c r="M182" i="2"/>
  <c r="N182" i="2"/>
  <c r="K183" i="2"/>
  <c r="L183" i="2"/>
  <c r="M183" i="2"/>
  <c r="N183" i="2"/>
  <c r="K184" i="2"/>
  <c r="L184" i="2"/>
  <c r="M184" i="2"/>
  <c r="N184" i="2"/>
  <c r="K185" i="2"/>
  <c r="L185" i="2"/>
  <c r="M185" i="2"/>
  <c r="N185" i="2"/>
  <c r="K186" i="2"/>
  <c r="L186" i="2"/>
  <c r="M186" i="2"/>
  <c r="N186" i="2"/>
  <c r="K187" i="2"/>
  <c r="L187" i="2"/>
  <c r="M187" i="2"/>
  <c r="N187" i="2"/>
  <c r="K188" i="2"/>
  <c r="L188" i="2"/>
  <c r="M188" i="2"/>
  <c r="N188" i="2"/>
  <c r="K189" i="2"/>
  <c r="L189" i="2"/>
  <c r="M189" i="2"/>
  <c r="N189" i="2"/>
  <c r="K190" i="2"/>
  <c r="L190" i="2"/>
  <c r="M190" i="2"/>
  <c r="N190" i="2"/>
  <c r="K191" i="2"/>
  <c r="L191" i="2"/>
  <c r="M191" i="2"/>
  <c r="N191" i="2"/>
  <c r="K192" i="2"/>
  <c r="L192" i="2"/>
  <c r="M192" i="2"/>
  <c r="N192" i="2"/>
  <c r="K193" i="2"/>
  <c r="L193" i="2"/>
  <c r="M193" i="2"/>
  <c r="N193" i="2"/>
  <c r="K194" i="2"/>
  <c r="L194" i="2"/>
  <c r="M194" i="2"/>
  <c r="N194" i="2"/>
  <c r="K195" i="2"/>
  <c r="L195" i="2"/>
  <c r="M195" i="2"/>
  <c r="N195" i="2"/>
  <c r="K196" i="2"/>
  <c r="L196" i="2"/>
  <c r="M196" i="2"/>
  <c r="N196" i="2"/>
  <c r="K197" i="2"/>
  <c r="L197" i="2"/>
  <c r="M197" i="2"/>
  <c r="N197" i="2"/>
  <c r="K198" i="2"/>
  <c r="L198" i="2"/>
  <c r="M198" i="2"/>
  <c r="N198" i="2"/>
  <c r="K199" i="2"/>
  <c r="L199" i="2"/>
  <c r="M199" i="2"/>
  <c r="N199" i="2"/>
  <c r="K200" i="2"/>
  <c r="L200" i="2"/>
  <c r="M200" i="2"/>
  <c r="N200" i="2"/>
  <c r="K201" i="2"/>
  <c r="L201" i="2"/>
  <c r="M201" i="2"/>
  <c r="N201" i="2"/>
  <c r="K202" i="2"/>
  <c r="L202" i="2"/>
  <c r="M202" i="2"/>
  <c r="N202" i="2"/>
  <c r="K203" i="2"/>
  <c r="L203" i="2"/>
  <c r="M203" i="2"/>
  <c r="N203" i="2"/>
  <c r="K204" i="2"/>
  <c r="L204" i="2"/>
  <c r="M204" i="2"/>
  <c r="N204" i="2"/>
  <c r="K205" i="2"/>
  <c r="L205" i="2"/>
  <c r="M205" i="2"/>
  <c r="N205" i="2"/>
  <c r="K206" i="2"/>
  <c r="L206" i="2"/>
  <c r="M206" i="2"/>
  <c r="N206" i="2"/>
  <c r="K207" i="2"/>
  <c r="L207" i="2"/>
  <c r="M207" i="2"/>
  <c r="N207" i="2"/>
  <c r="K208" i="2"/>
  <c r="L208" i="2"/>
  <c r="M208" i="2"/>
  <c r="N208" i="2"/>
  <c r="K209" i="2"/>
  <c r="L209" i="2"/>
  <c r="M209" i="2"/>
  <c r="N209" i="2"/>
  <c r="K210" i="2"/>
  <c r="L210" i="2"/>
  <c r="M210" i="2"/>
  <c r="N210" i="2"/>
  <c r="K211" i="2"/>
  <c r="L211" i="2"/>
  <c r="M211" i="2"/>
  <c r="N211" i="2"/>
  <c r="K212" i="2"/>
  <c r="L212" i="2"/>
  <c r="M212" i="2"/>
  <c r="N212" i="2"/>
  <c r="K213" i="2"/>
  <c r="L213" i="2"/>
  <c r="M213" i="2"/>
  <c r="N213" i="2"/>
  <c r="K214" i="2"/>
  <c r="L214" i="2"/>
  <c r="M214" i="2"/>
  <c r="N214" i="2"/>
  <c r="K215" i="2"/>
  <c r="L215" i="2"/>
  <c r="M215" i="2"/>
  <c r="N215" i="2"/>
  <c r="K216" i="2"/>
  <c r="L216" i="2"/>
  <c r="M216" i="2"/>
  <c r="N216" i="2"/>
  <c r="K217" i="2"/>
  <c r="L217" i="2"/>
  <c r="M217" i="2"/>
  <c r="N217" i="2"/>
  <c r="K218" i="2"/>
  <c r="L218" i="2"/>
  <c r="M218" i="2"/>
  <c r="N218" i="2"/>
  <c r="K219" i="2"/>
  <c r="L219" i="2"/>
  <c r="M219" i="2"/>
  <c r="N219" i="2"/>
  <c r="K220" i="2"/>
  <c r="L220" i="2"/>
  <c r="M220" i="2"/>
  <c r="N220" i="2"/>
  <c r="K221" i="2"/>
  <c r="L221" i="2"/>
  <c r="M221" i="2"/>
  <c r="N221" i="2"/>
  <c r="K222" i="2"/>
  <c r="L222" i="2"/>
  <c r="M222" i="2"/>
  <c r="N222" i="2"/>
  <c r="K223" i="2"/>
  <c r="L223" i="2"/>
  <c r="M223" i="2"/>
  <c r="N223" i="2"/>
  <c r="K224" i="2"/>
  <c r="L224" i="2"/>
  <c r="M224" i="2"/>
  <c r="N224" i="2"/>
  <c r="K225" i="2"/>
  <c r="L225" i="2"/>
  <c r="M225" i="2"/>
  <c r="N225" i="2"/>
  <c r="K226" i="2"/>
  <c r="L226" i="2"/>
  <c r="M226" i="2"/>
  <c r="N226" i="2"/>
  <c r="K227" i="2"/>
  <c r="L227" i="2"/>
  <c r="M227" i="2"/>
  <c r="N227" i="2"/>
  <c r="K228" i="2"/>
  <c r="L228" i="2"/>
  <c r="M228" i="2"/>
  <c r="N228" i="2"/>
  <c r="K229" i="2"/>
  <c r="L229" i="2"/>
  <c r="M229" i="2"/>
  <c r="N229" i="2"/>
  <c r="K230" i="2"/>
  <c r="L230" i="2"/>
  <c r="M230" i="2"/>
  <c r="N230" i="2"/>
  <c r="K231" i="2"/>
  <c r="L231" i="2"/>
  <c r="M231" i="2"/>
  <c r="N231" i="2"/>
  <c r="K232" i="2"/>
  <c r="L232" i="2"/>
  <c r="M232" i="2"/>
  <c r="N232" i="2"/>
  <c r="K233" i="2"/>
  <c r="L233" i="2"/>
  <c r="M233" i="2"/>
  <c r="N233" i="2"/>
  <c r="K234" i="2"/>
  <c r="L234" i="2"/>
  <c r="M234" i="2"/>
  <c r="N234" i="2"/>
  <c r="K235" i="2"/>
  <c r="L235" i="2"/>
  <c r="M235" i="2"/>
  <c r="N235" i="2"/>
  <c r="K236" i="2"/>
  <c r="L236" i="2"/>
  <c r="M236" i="2"/>
  <c r="N236" i="2"/>
  <c r="K237" i="2"/>
  <c r="L237" i="2"/>
  <c r="M237" i="2"/>
  <c r="N237" i="2"/>
  <c r="K238" i="2"/>
  <c r="L238" i="2"/>
  <c r="M238" i="2"/>
  <c r="N238" i="2"/>
  <c r="K239" i="2"/>
  <c r="L239" i="2"/>
  <c r="M239" i="2"/>
  <c r="N239" i="2"/>
  <c r="K240" i="2"/>
  <c r="L240" i="2"/>
  <c r="M240" i="2"/>
  <c r="N240" i="2"/>
  <c r="K241" i="2"/>
  <c r="L241" i="2"/>
  <c r="M241" i="2"/>
  <c r="N241" i="2"/>
  <c r="K242" i="2"/>
  <c r="L242" i="2"/>
  <c r="M242" i="2"/>
  <c r="N242" i="2"/>
  <c r="K243" i="2"/>
  <c r="L243" i="2"/>
  <c r="M243" i="2"/>
  <c r="N243" i="2"/>
  <c r="K244" i="2"/>
  <c r="L244" i="2"/>
  <c r="M244" i="2"/>
  <c r="N244" i="2"/>
  <c r="K245" i="2"/>
  <c r="L245" i="2"/>
  <c r="M245" i="2"/>
  <c r="N245" i="2"/>
  <c r="K246" i="2"/>
  <c r="L246" i="2"/>
  <c r="M246" i="2"/>
  <c r="N246" i="2"/>
  <c r="K247" i="2"/>
  <c r="L247" i="2"/>
  <c r="M247" i="2"/>
  <c r="N247" i="2"/>
  <c r="K248" i="2"/>
  <c r="L248" i="2"/>
  <c r="M248" i="2"/>
  <c r="N248" i="2"/>
  <c r="K249" i="2"/>
  <c r="L249" i="2"/>
  <c r="M249" i="2"/>
  <c r="N249" i="2"/>
  <c r="K250" i="2"/>
  <c r="L250" i="2"/>
  <c r="M250" i="2"/>
  <c r="N250" i="2"/>
  <c r="K251" i="2"/>
  <c r="L251" i="2"/>
  <c r="M251" i="2"/>
  <c r="N251" i="2"/>
  <c r="K252" i="2"/>
  <c r="L252" i="2"/>
  <c r="M252" i="2"/>
  <c r="N252" i="2"/>
  <c r="K253" i="2"/>
  <c r="L253" i="2"/>
  <c r="M253" i="2"/>
  <c r="N253" i="2"/>
  <c r="K254" i="2"/>
  <c r="L254" i="2"/>
  <c r="M254" i="2"/>
  <c r="N254" i="2"/>
  <c r="K255" i="2"/>
  <c r="L255" i="2"/>
  <c r="M255" i="2"/>
  <c r="N255" i="2"/>
  <c r="K256" i="2"/>
  <c r="L256" i="2"/>
  <c r="M256" i="2"/>
  <c r="N256" i="2"/>
  <c r="K257" i="2"/>
  <c r="L257" i="2"/>
  <c r="M257" i="2"/>
  <c r="N257" i="2"/>
  <c r="K258" i="2"/>
  <c r="L258" i="2"/>
  <c r="M258" i="2"/>
  <c r="N258" i="2"/>
  <c r="K259" i="2"/>
  <c r="L259" i="2"/>
  <c r="M259" i="2"/>
  <c r="N259" i="2"/>
  <c r="K260" i="2"/>
  <c r="L260" i="2"/>
  <c r="M260" i="2"/>
  <c r="N260" i="2"/>
  <c r="K261" i="2"/>
  <c r="L261" i="2"/>
  <c r="M261" i="2"/>
  <c r="N261" i="2"/>
  <c r="K262" i="2"/>
  <c r="L262" i="2"/>
  <c r="M262" i="2"/>
  <c r="N262" i="2"/>
  <c r="K263" i="2"/>
  <c r="L263" i="2"/>
  <c r="M263" i="2"/>
  <c r="N263" i="2"/>
  <c r="K264" i="2"/>
  <c r="L264" i="2"/>
  <c r="M264" i="2"/>
  <c r="N264" i="2"/>
  <c r="K265" i="2"/>
  <c r="L265" i="2"/>
  <c r="M265" i="2"/>
  <c r="N265" i="2"/>
  <c r="K266" i="2"/>
  <c r="L266" i="2"/>
  <c r="M266" i="2"/>
  <c r="N266" i="2"/>
  <c r="K267" i="2"/>
  <c r="L267" i="2"/>
  <c r="M267" i="2"/>
  <c r="N267" i="2"/>
  <c r="K268" i="2"/>
  <c r="L268" i="2"/>
  <c r="M268" i="2"/>
  <c r="N268" i="2"/>
  <c r="K269" i="2"/>
  <c r="L269" i="2"/>
  <c r="M269" i="2"/>
  <c r="N269" i="2"/>
  <c r="K270" i="2"/>
  <c r="L270" i="2"/>
  <c r="M270" i="2"/>
  <c r="N270" i="2"/>
  <c r="K271" i="2"/>
  <c r="L271" i="2"/>
  <c r="M271" i="2"/>
  <c r="N271" i="2"/>
  <c r="K272" i="2"/>
  <c r="L272" i="2"/>
  <c r="M272" i="2"/>
  <c r="N272" i="2"/>
  <c r="K273" i="2"/>
  <c r="L273" i="2"/>
  <c r="M273" i="2"/>
  <c r="N273" i="2"/>
  <c r="K274" i="2"/>
  <c r="L274" i="2"/>
  <c r="M274" i="2"/>
  <c r="N274" i="2"/>
  <c r="K275" i="2"/>
  <c r="L275" i="2"/>
  <c r="M275" i="2"/>
  <c r="N275" i="2"/>
  <c r="K276" i="2"/>
  <c r="L276" i="2"/>
  <c r="M276" i="2"/>
  <c r="N276" i="2"/>
  <c r="K277" i="2"/>
  <c r="L277" i="2"/>
  <c r="M277" i="2"/>
  <c r="N277" i="2"/>
  <c r="K278" i="2"/>
  <c r="L278" i="2"/>
  <c r="M278" i="2"/>
  <c r="N278" i="2"/>
  <c r="K279" i="2"/>
  <c r="L279" i="2"/>
  <c r="M279" i="2"/>
  <c r="N279" i="2"/>
  <c r="K280" i="2"/>
  <c r="L280" i="2"/>
  <c r="M280" i="2"/>
  <c r="N280" i="2"/>
  <c r="K281" i="2"/>
  <c r="L281" i="2"/>
  <c r="M281" i="2"/>
  <c r="N281" i="2"/>
  <c r="K282" i="2"/>
  <c r="L282" i="2"/>
  <c r="M282" i="2"/>
  <c r="N282" i="2"/>
  <c r="K283" i="2"/>
  <c r="L283" i="2"/>
  <c r="M283" i="2"/>
  <c r="N283" i="2"/>
  <c r="K284" i="2"/>
  <c r="L284" i="2"/>
  <c r="M284" i="2"/>
  <c r="N284" i="2"/>
  <c r="K285" i="2"/>
  <c r="L285" i="2"/>
  <c r="M285" i="2"/>
  <c r="N285" i="2"/>
  <c r="K286" i="2"/>
  <c r="L286" i="2"/>
  <c r="M286" i="2"/>
  <c r="N286" i="2"/>
  <c r="K287" i="2"/>
  <c r="L287" i="2"/>
  <c r="M287" i="2"/>
  <c r="N287" i="2"/>
  <c r="K288" i="2"/>
  <c r="L288" i="2"/>
  <c r="M288" i="2"/>
  <c r="N288" i="2"/>
  <c r="K289" i="2"/>
  <c r="L289" i="2"/>
  <c r="M289" i="2"/>
  <c r="N289" i="2"/>
  <c r="K290" i="2"/>
  <c r="L290" i="2"/>
  <c r="M290" i="2"/>
  <c r="N290" i="2"/>
  <c r="K291" i="2"/>
  <c r="L291" i="2"/>
  <c r="M291" i="2"/>
  <c r="N291" i="2"/>
  <c r="K292" i="2"/>
  <c r="L292" i="2"/>
  <c r="M292" i="2"/>
  <c r="N292" i="2"/>
  <c r="K293" i="2"/>
  <c r="L293" i="2"/>
  <c r="M293" i="2"/>
  <c r="N293" i="2"/>
  <c r="K294" i="2"/>
  <c r="L294" i="2"/>
  <c r="M294" i="2"/>
  <c r="N294" i="2"/>
  <c r="K295" i="2"/>
  <c r="L295" i="2"/>
  <c r="M295" i="2"/>
  <c r="N295" i="2"/>
  <c r="K296" i="2"/>
  <c r="L296" i="2"/>
  <c r="M296" i="2"/>
  <c r="N296" i="2"/>
  <c r="K297" i="2"/>
  <c r="L297" i="2"/>
  <c r="M297" i="2"/>
  <c r="N297" i="2"/>
  <c r="K298" i="2"/>
  <c r="L298" i="2"/>
  <c r="M298" i="2"/>
  <c r="N298" i="2"/>
  <c r="K299" i="2"/>
  <c r="L299" i="2"/>
  <c r="M299" i="2"/>
  <c r="N299" i="2"/>
  <c r="K300" i="2"/>
  <c r="L300" i="2"/>
  <c r="M300" i="2"/>
  <c r="N300" i="2"/>
  <c r="K301" i="2"/>
  <c r="L301" i="2"/>
  <c r="M301" i="2"/>
  <c r="N301" i="2"/>
  <c r="K302" i="2"/>
  <c r="L302" i="2"/>
  <c r="M302" i="2"/>
  <c r="N302" i="2"/>
  <c r="K303" i="2"/>
  <c r="L303" i="2"/>
  <c r="M303" i="2"/>
  <c r="N303" i="2"/>
  <c r="K304" i="2"/>
  <c r="L304" i="2"/>
  <c r="M304" i="2"/>
  <c r="N304" i="2"/>
  <c r="K305" i="2"/>
  <c r="L305" i="2"/>
  <c r="M305" i="2"/>
  <c r="N305" i="2"/>
  <c r="K306" i="2"/>
  <c r="L306" i="2"/>
  <c r="M306" i="2"/>
  <c r="N306" i="2"/>
  <c r="K307" i="2"/>
  <c r="L307" i="2"/>
  <c r="M307" i="2"/>
  <c r="N307" i="2"/>
  <c r="K308" i="2"/>
  <c r="L308" i="2"/>
  <c r="M308" i="2"/>
  <c r="N308" i="2"/>
  <c r="K309" i="2"/>
  <c r="L309" i="2"/>
  <c r="M309" i="2"/>
  <c r="N309" i="2"/>
  <c r="K310" i="2"/>
  <c r="L310" i="2"/>
  <c r="M310" i="2"/>
  <c r="N310" i="2"/>
  <c r="K311" i="2"/>
  <c r="L311" i="2"/>
  <c r="M311" i="2"/>
  <c r="N311" i="2"/>
  <c r="K312" i="2"/>
  <c r="L312" i="2"/>
  <c r="M312" i="2"/>
  <c r="N312" i="2"/>
  <c r="K313" i="2"/>
  <c r="L313" i="2"/>
  <c r="M313" i="2"/>
  <c r="N313" i="2"/>
  <c r="K314" i="2"/>
  <c r="L314" i="2"/>
  <c r="M314" i="2"/>
  <c r="N314" i="2"/>
  <c r="K315" i="2"/>
  <c r="L315" i="2"/>
  <c r="M315" i="2"/>
  <c r="N315" i="2"/>
  <c r="K316" i="2"/>
  <c r="L316" i="2"/>
  <c r="M316" i="2"/>
  <c r="N316" i="2"/>
  <c r="K317" i="2"/>
  <c r="L317" i="2"/>
  <c r="M317" i="2"/>
  <c r="N317" i="2"/>
  <c r="K318" i="2"/>
  <c r="L318" i="2"/>
  <c r="M318" i="2"/>
  <c r="N318" i="2"/>
  <c r="K319" i="2"/>
  <c r="L319" i="2"/>
  <c r="M319" i="2"/>
  <c r="N319" i="2"/>
  <c r="K320" i="2"/>
  <c r="L320" i="2"/>
  <c r="M320" i="2"/>
  <c r="N320" i="2"/>
  <c r="K321" i="2"/>
  <c r="L321" i="2"/>
  <c r="M321" i="2"/>
  <c r="N321" i="2"/>
  <c r="K322" i="2"/>
  <c r="L322" i="2"/>
  <c r="M322" i="2"/>
  <c r="N322" i="2"/>
  <c r="K323" i="2"/>
  <c r="L323" i="2"/>
  <c r="M323" i="2"/>
  <c r="N323" i="2"/>
  <c r="K324" i="2"/>
  <c r="L324" i="2"/>
  <c r="M324" i="2"/>
  <c r="N324" i="2"/>
  <c r="K325" i="2"/>
  <c r="L325" i="2"/>
  <c r="M325" i="2"/>
  <c r="N325" i="2"/>
  <c r="K326" i="2"/>
  <c r="L326" i="2"/>
  <c r="M326" i="2"/>
  <c r="N326" i="2"/>
  <c r="K327" i="2"/>
  <c r="L327" i="2"/>
  <c r="M327" i="2"/>
  <c r="N327" i="2"/>
  <c r="K328" i="2"/>
  <c r="L328" i="2"/>
  <c r="M328" i="2"/>
  <c r="N328" i="2"/>
  <c r="K329" i="2"/>
  <c r="L329" i="2"/>
  <c r="M329" i="2"/>
  <c r="N329" i="2"/>
  <c r="K330" i="2"/>
  <c r="L330" i="2"/>
  <c r="M330" i="2"/>
  <c r="N330" i="2"/>
  <c r="K331" i="2"/>
  <c r="L331" i="2"/>
  <c r="M331" i="2"/>
  <c r="N331" i="2"/>
  <c r="K332" i="2"/>
  <c r="L332" i="2"/>
  <c r="M332" i="2"/>
  <c r="N332" i="2"/>
  <c r="K333" i="2"/>
  <c r="L333" i="2"/>
  <c r="M333" i="2"/>
  <c r="N333" i="2"/>
  <c r="K334" i="2"/>
  <c r="L334" i="2"/>
  <c r="M334" i="2"/>
  <c r="N334" i="2"/>
  <c r="K335" i="2"/>
  <c r="L335" i="2"/>
  <c r="M335" i="2"/>
  <c r="N335" i="2"/>
  <c r="K336" i="2"/>
  <c r="L336" i="2"/>
  <c r="M336" i="2"/>
  <c r="N336" i="2"/>
  <c r="K337" i="2"/>
  <c r="L337" i="2"/>
  <c r="M337" i="2"/>
  <c r="N337" i="2"/>
  <c r="K338" i="2"/>
  <c r="L338" i="2"/>
  <c r="M338" i="2"/>
  <c r="N338" i="2"/>
  <c r="K339" i="2"/>
  <c r="L339" i="2"/>
  <c r="M339" i="2"/>
  <c r="N339" i="2"/>
  <c r="K340" i="2"/>
  <c r="L340" i="2"/>
  <c r="M340" i="2"/>
  <c r="N340" i="2"/>
  <c r="K341" i="2"/>
  <c r="L341" i="2"/>
  <c r="M341" i="2"/>
  <c r="N341" i="2"/>
  <c r="K342" i="2"/>
  <c r="L342" i="2"/>
  <c r="M342" i="2"/>
  <c r="N342" i="2"/>
  <c r="K343" i="2"/>
  <c r="L343" i="2"/>
  <c r="M343" i="2"/>
  <c r="N343" i="2"/>
  <c r="K344" i="2"/>
  <c r="L344" i="2"/>
  <c r="M344" i="2"/>
  <c r="N344" i="2"/>
  <c r="K345" i="2"/>
  <c r="L345" i="2"/>
  <c r="M345" i="2"/>
  <c r="N345" i="2"/>
  <c r="K346" i="2"/>
  <c r="L346" i="2"/>
  <c r="M346" i="2"/>
  <c r="N346" i="2"/>
  <c r="K347" i="2"/>
  <c r="L347" i="2"/>
  <c r="M347" i="2"/>
  <c r="N347" i="2"/>
  <c r="K348" i="2"/>
  <c r="L348" i="2"/>
  <c r="M348" i="2"/>
  <c r="N348" i="2"/>
  <c r="K349" i="2"/>
  <c r="L349" i="2"/>
  <c r="M349" i="2"/>
  <c r="N349" i="2"/>
  <c r="K350" i="2"/>
  <c r="L350" i="2"/>
  <c r="M350" i="2"/>
  <c r="N350" i="2"/>
  <c r="K351" i="2"/>
  <c r="L351" i="2"/>
  <c r="M351" i="2"/>
  <c r="N351" i="2"/>
  <c r="K352" i="2"/>
  <c r="L352" i="2"/>
  <c r="M352" i="2"/>
  <c r="N352" i="2"/>
  <c r="K353" i="2"/>
  <c r="L353" i="2"/>
  <c r="M353" i="2"/>
  <c r="N353" i="2"/>
  <c r="K354" i="2"/>
  <c r="L354" i="2"/>
  <c r="M354" i="2"/>
  <c r="N354" i="2"/>
  <c r="K355" i="2"/>
  <c r="L355" i="2"/>
  <c r="M355" i="2"/>
  <c r="N355" i="2"/>
  <c r="K356" i="2"/>
  <c r="L356" i="2"/>
  <c r="M356" i="2"/>
  <c r="N356" i="2"/>
  <c r="K357" i="2"/>
  <c r="L357" i="2"/>
  <c r="M357" i="2"/>
  <c r="N357" i="2"/>
  <c r="K358" i="2"/>
  <c r="L358" i="2"/>
  <c r="M358" i="2"/>
  <c r="N358" i="2"/>
  <c r="K359" i="2"/>
  <c r="L359" i="2"/>
  <c r="M359" i="2"/>
  <c r="N359" i="2"/>
  <c r="K360" i="2"/>
  <c r="L360" i="2"/>
  <c r="M360" i="2"/>
  <c r="L2" i="2"/>
  <c r="M2" i="2"/>
  <c r="N2" i="2"/>
  <c r="K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2" i="2"/>
  <c r="Z172" i="1"/>
  <c r="Z173" i="1"/>
  <c r="Z174" i="1"/>
  <c r="Z175" i="1"/>
  <c r="Z176" i="1"/>
  <c r="Z177" i="1"/>
  <c r="Z178" i="1"/>
  <c r="Z179" i="1"/>
  <c r="Z180" i="1"/>
  <c r="Z181" i="1"/>
  <c r="Z182" i="1"/>
  <c r="Z183" i="1"/>
  <c r="C351" i="1"/>
  <c r="C352" i="1"/>
  <c r="C353" i="1"/>
  <c r="C350" i="1"/>
</calcChain>
</file>

<file path=xl/sharedStrings.xml><?xml version="1.0" encoding="utf-8"?>
<sst xmlns="http://schemas.openxmlformats.org/spreadsheetml/2006/main" count="784" uniqueCount="91">
  <si>
    <t>Type</t>
  </si>
  <si>
    <t>LHV [MJ/kg wb]</t>
  </si>
  <si>
    <t>Ash [%db]</t>
  </si>
  <si>
    <t>Moisture [%wb]</t>
  </si>
  <si>
    <t>Volatile Matter [%db]</t>
  </si>
  <si>
    <t>Fixed carbon  [%db]</t>
  </si>
  <si>
    <t>Temperature [°C]</t>
  </si>
  <si>
    <t>Residence time [min]</t>
  </si>
  <si>
    <t>Steam/Biomass [wt/wt]</t>
  </si>
  <si>
    <t>ER</t>
  </si>
  <si>
    <t>Gasifying agent</t>
  </si>
  <si>
    <t>H2 [vol.% db]</t>
  </si>
  <si>
    <t>CO [vol.% db]</t>
  </si>
  <si>
    <t>CO2 [vol.% db]</t>
  </si>
  <si>
    <t>CH4 [vol.% db]</t>
  </si>
  <si>
    <t>LHV [MJ/Nm3]</t>
  </si>
  <si>
    <t>Tar [g/Nm3]</t>
  </si>
  <si>
    <t>Gas yield [Nm3/kg wb]</t>
  </si>
  <si>
    <t>Char yield [g/kg wb]</t>
  </si>
  <si>
    <t>CGE [%] (wb)</t>
  </si>
  <si>
    <t>CCE [%] (wb)</t>
  </si>
  <si>
    <t>solid recovered fuel</t>
  </si>
  <si>
    <t>-</t>
  </si>
  <si>
    <t>air</t>
  </si>
  <si>
    <t>plastics</t>
  </si>
  <si>
    <t>refuse derived fuel</t>
  </si>
  <si>
    <t>palm empty fruit bunch</t>
  </si>
  <si>
    <t>sawdust</t>
  </si>
  <si>
    <t>pine saw dust</t>
  </si>
  <si>
    <t>air + steam</t>
  </si>
  <si>
    <t>sewage sludge</t>
  </si>
  <si>
    <t>rubber woodchip</t>
  </si>
  <si>
    <t>rubber woodchip (90%) + shredded rubber waste (10%)</t>
  </si>
  <si>
    <t>rubber woodchip (80%) + shredded rubber waste (20%)</t>
  </si>
  <si>
    <t>birch woodchips</t>
  </si>
  <si>
    <t>oak woodchips</t>
  </si>
  <si>
    <t>spruce woodchips</t>
  </si>
  <si>
    <t>poplar woodchips</t>
  </si>
  <si>
    <t>willow woodchips</t>
  </si>
  <si>
    <t>alfalfa</t>
  </si>
  <si>
    <t>rice husk</t>
  </si>
  <si>
    <t>birch wood</t>
  </si>
  <si>
    <t>oxygen</t>
  </si>
  <si>
    <t>municipal solid waste</t>
  </si>
  <si>
    <t>steam</t>
  </si>
  <si>
    <t>palm kernel shell</t>
  </si>
  <si>
    <t>walnut shell</t>
  </si>
  <si>
    <t>pistachio shell</t>
  </si>
  <si>
    <t>pine wood</t>
  </si>
  <si>
    <t>oak + maple wood (50/50)</t>
  </si>
  <si>
    <t>seed corn</t>
  </si>
  <si>
    <t>pinewood waste</t>
  </si>
  <si>
    <t>polyethylene (80 wt.%)/pine wood sawdust (20 wt.%)</t>
  </si>
  <si>
    <t>olive husk</t>
  </si>
  <si>
    <t>pine sawdust</t>
  </si>
  <si>
    <t>corn straw</t>
  </si>
  <si>
    <t>peach prunings</t>
  </si>
  <si>
    <t>corn cobs</t>
  </si>
  <si>
    <t>wood pellets</t>
  </si>
  <si>
    <t>vine pruning</t>
  </si>
  <si>
    <t>bamboo</t>
  </si>
  <si>
    <t>gulmohar</t>
  </si>
  <si>
    <t>neem</t>
  </si>
  <si>
    <t>dimaru</t>
  </si>
  <si>
    <t>sisham</t>
  </si>
  <si>
    <t>cereal straw</t>
  </si>
  <si>
    <t>pine wood chips</t>
  </si>
  <si>
    <t>thistles</t>
  </si>
  <si>
    <t>wood residue</t>
  </si>
  <si>
    <t>palm shells</t>
  </si>
  <si>
    <t>C.vulgaris</t>
  </si>
  <si>
    <t>Beech A</t>
  </si>
  <si>
    <t>BeechB</t>
  </si>
  <si>
    <t>Resinous mixA</t>
  </si>
  <si>
    <t>Resinous mixB</t>
  </si>
  <si>
    <t>Resinous mixC</t>
  </si>
  <si>
    <t>coffe husk</t>
  </si>
  <si>
    <t xml:space="preserve">steam </t>
  </si>
  <si>
    <t>chicken manure</t>
  </si>
  <si>
    <t>wood chip</t>
  </si>
  <si>
    <t>coconut fiber</t>
  </si>
  <si>
    <t>Maize straw</t>
  </si>
  <si>
    <t>Cotton straw</t>
  </si>
  <si>
    <t>Rice straw</t>
  </si>
  <si>
    <t>N2 [vol.% db]</t>
  </si>
  <si>
    <t>C [%wb]</t>
  </si>
  <si>
    <t>H [%wb]</t>
  </si>
  <si>
    <t>N [%wb]</t>
  </si>
  <si>
    <t>S [%wb]</t>
  </si>
  <si>
    <t>O [%wb]</t>
  </si>
  <si>
    <t xml:space="preserve">air + steam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</si>
</sst>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19">
    <xf numFmtId="0" fontId="0" fillId="0" borderId="0" xfId="0"/>
    <xf numFmtId="0" fontId="4" fillId="4" borderId="0" xfId="3" applyFont="1" applyAlignment="1">
      <alignment horizontal="center"/>
    </xf>
    <xf numFmtId="0" fontId="4" fillId="2" borderId="0" xfId="1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3" fillId="3" borderId="0" xfId="2" applyFont="1" applyAlignment="1">
      <alignment horizontal="center" vertical="center"/>
    </xf>
    <xf numFmtId="2" fontId="0" fillId="8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</cellXfs>
  <cellStyles count="4">
    <cellStyle name="20% - Accent2" xfId="1" builtinId="34"/>
    <cellStyle name="20% - Accent6" xfId="3" builtinId="50"/>
    <cellStyle name="Accent3" xfId="2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140D-66DD-42F0-8179-1A059478F9DA}">
  <dimension ref="A1:AG360"/>
  <sheetViews>
    <sheetView tabSelected="1" topLeftCell="P1" workbookViewId="0">
      <pane ySplit="1" topLeftCell="A352" activePane="bottomLeft" state="frozen"/>
      <selection activeCell="E1" sqref="E1"/>
      <selection pane="bottomLeft" activeCell="S2" sqref="S2:V360"/>
    </sheetView>
  </sheetViews>
  <sheetFormatPr defaultColWidth="11" defaultRowHeight="14.25" x14ac:dyDescent="0.2"/>
  <cols>
    <col min="26" max="26" width="17.25" customWidth="1"/>
  </cols>
  <sheetData>
    <row r="1" spans="1:28" ht="18" x14ac:dyDescent="0.2">
      <c r="A1" s="15"/>
      <c r="B1" s="1" t="s">
        <v>0</v>
      </c>
      <c r="C1" s="1" t="s">
        <v>1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84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</row>
    <row r="2" spans="1:28" x14ac:dyDescent="0.2">
      <c r="A2" s="3">
        <v>1</v>
      </c>
      <c r="B2" s="4" t="s">
        <v>21</v>
      </c>
      <c r="C2" s="5">
        <v>19.450000000000003</v>
      </c>
      <c r="D2" s="5">
        <v>43.300000000000004</v>
      </c>
      <c r="E2" s="5">
        <v>6.2500000000000018</v>
      </c>
      <c r="F2" s="5">
        <v>0.68000000000000016</v>
      </c>
      <c r="G2" s="5">
        <v>0.20000000000000004</v>
      </c>
      <c r="H2" s="5">
        <v>23.55</v>
      </c>
      <c r="I2" s="5">
        <v>20.694800000000001</v>
      </c>
      <c r="J2" s="5">
        <v>6.4</v>
      </c>
      <c r="K2" s="5"/>
      <c r="L2" s="5"/>
      <c r="M2" s="5">
        <v>849</v>
      </c>
      <c r="N2" s="5">
        <v>120</v>
      </c>
      <c r="O2" s="5">
        <v>0</v>
      </c>
      <c r="P2" s="5">
        <v>0.25600000000000001</v>
      </c>
      <c r="Q2" s="5" t="s">
        <v>23</v>
      </c>
      <c r="R2" s="5">
        <v>63.334358658874187</v>
      </c>
      <c r="S2">
        <v>23.713646532438478</v>
      </c>
      <c r="T2">
        <v>27.237136465324387</v>
      </c>
      <c r="U2">
        <v>37.360178970917225</v>
      </c>
      <c r="V2">
        <v>11.68903803131991</v>
      </c>
      <c r="W2" s="5">
        <v>5.39</v>
      </c>
      <c r="X2" s="5">
        <v>73</v>
      </c>
      <c r="Y2" s="5">
        <v>1.62</v>
      </c>
      <c r="Z2" s="6"/>
      <c r="AA2" s="5">
        <v>53</v>
      </c>
      <c r="AB2" s="5">
        <v>70</v>
      </c>
    </row>
    <row r="3" spans="1:28" x14ac:dyDescent="0.2">
      <c r="A3" s="3">
        <v>2</v>
      </c>
      <c r="B3" s="4" t="s">
        <v>21</v>
      </c>
      <c r="C3" s="5">
        <v>19.450000000000003</v>
      </c>
      <c r="D3" s="5">
        <v>43.300000000000004</v>
      </c>
      <c r="E3" s="5">
        <v>6.2500000000000018</v>
      </c>
      <c r="F3" s="5">
        <v>0.68000000000000016</v>
      </c>
      <c r="G3" s="5">
        <v>0.20000000000000004</v>
      </c>
      <c r="H3" s="5">
        <v>23.55</v>
      </c>
      <c r="I3" s="5">
        <v>20.694800000000001</v>
      </c>
      <c r="J3" s="5">
        <v>6.4</v>
      </c>
      <c r="K3" s="5"/>
      <c r="L3" s="5"/>
      <c r="M3" s="5">
        <v>852</v>
      </c>
      <c r="N3" s="5">
        <v>120</v>
      </c>
      <c r="O3" s="5">
        <v>0</v>
      </c>
      <c r="P3" s="5">
        <v>0.255</v>
      </c>
      <c r="Q3" s="5" t="s">
        <v>23</v>
      </c>
      <c r="R3" s="5">
        <v>62.761333057338021</v>
      </c>
      <c r="S3">
        <v>19.760978321289606</v>
      </c>
      <c r="T3">
        <v>24.958310172317955</v>
      </c>
      <c r="U3">
        <v>43.607559755419679</v>
      </c>
      <c r="V3">
        <v>11.673151750972762</v>
      </c>
      <c r="W3" s="5">
        <v>5.6520000000000001</v>
      </c>
      <c r="X3" s="5">
        <v>47</v>
      </c>
      <c r="Y3" s="5">
        <v>1.73</v>
      </c>
      <c r="Z3" s="6"/>
      <c r="AA3" s="5">
        <v>56.000000000000007</v>
      </c>
      <c r="AB3" s="5">
        <v>80</v>
      </c>
    </row>
    <row r="4" spans="1:28" x14ac:dyDescent="0.2">
      <c r="A4" s="3">
        <v>3</v>
      </c>
      <c r="B4" s="4" t="s">
        <v>21</v>
      </c>
      <c r="C4" s="5">
        <v>19.450000000000003</v>
      </c>
      <c r="D4" s="5">
        <v>43.300000000000004</v>
      </c>
      <c r="E4" s="5">
        <v>6.2500000000000018</v>
      </c>
      <c r="F4" s="5">
        <v>0.68000000000000016</v>
      </c>
      <c r="G4" s="5">
        <v>0.20000000000000004</v>
      </c>
      <c r="H4" s="5">
        <v>23.55</v>
      </c>
      <c r="I4" s="5">
        <v>20.694800000000001</v>
      </c>
      <c r="J4" s="5">
        <v>6.4</v>
      </c>
      <c r="K4" s="5"/>
      <c r="L4" s="5"/>
      <c r="M4" s="5">
        <v>869</v>
      </c>
      <c r="N4" s="5">
        <v>120</v>
      </c>
      <c r="O4" s="5">
        <v>0</v>
      </c>
      <c r="P4" s="5">
        <v>0.27200000000000002</v>
      </c>
      <c r="Q4" s="5" t="s">
        <v>23</v>
      </c>
      <c r="R4" s="5">
        <v>63.296725854459609</v>
      </c>
      <c r="S4">
        <v>23.601789709172255</v>
      </c>
      <c r="T4">
        <v>29.278523489932891</v>
      </c>
      <c r="U4">
        <v>34.340044742729312</v>
      </c>
      <c r="V4">
        <v>12.77964205816555</v>
      </c>
      <c r="W4" s="5">
        <v>5.55</v>
      </c>
      <c r="X4" s="5">
        <v>58</v>
      </c>
      <c r="Y4" s="5">
        <v>1.72</v>
      </c>
      <c r="Z4" s="6"/>
      <c r="AA4" s="5">
        <v>57.999999999999993</v>
      </c>
      <c r="AB4" s="5">
        <v>75</v>
      </c>
    </row>
    <row r="5" spans="1:28" x14ac:dyDescent="0.2">
      <c r="A5" s="3">
        <v>4</v>
      </c>
      <c r="B5" s="4" t="s">
        <v>21</v>
      </c>
      <c r="C5" s="5">
        <v>19.450000000000003</v>
      </c>
      <c r="D5" s="5">
        <v>43.300000000000004</v>
      </c>
      <c r="E5" s="5">
        <v>6.2500000000000018</v>
      </c>
      <c r="F5" s="5">
        <v>0.68000000000000016</v>
      </c>
      <c r="G5" s="5">
        <v>0.20000000000000004</v>
      </c>
      <c r="H5" s="5">
        <v>23.55</v>
      </c>
      <c r="I5" s="5">
        <v>20.694800000000001</v>
      </c>
      <c r="J5" s="5">
        <v>6.4</v>
      </c>
      <c r="K5" s="5"/>
      <c r="L5" s="5"/>
      <c r="M5" s="5">
        <v>879</v>
      </c>
      <c r="N5" s="5">
        <v>120</v>
      </c>
      <c r="O5" s="5">
        <v>0</v>
      </c>
      <c r="P5" s="5">
        <v>0.30199999999999999</v>
      </c>
      <c r="Q5" s="5" t="s">
        <v>23</v>
      </c>
      <c r="R5" s="5">
        <v>63.329238329238336</v>
      </c>
      <c r="S5">
        <v>23.003908431044106</v>
      </c>
      <c r="T5">
        <v>29.03405918481295</v>
      </c>
      <c r="U5">
        <v>35.817978782802896</v>
      </c>
      <c r="V5">
        <v>12.144053601340032</v>
      </c>
      <c r="W5" s="5">
        <v>5.16</v>
      </c>
      <c r="X5" s="5">
        <v>39</v>
      </c>
      <c r="Y5" s="5">
        <v>1.91</v>
      </c>
      <c r="Z5" s="6"/>
      <c r="AA5" s="5">
        <v>61</v>
      </c>
      <c r="AB5" s="5">
        <v>81</v>
      </c>
    </row>
    <row r="6" spans="1:28" x14ac:dyDescent="0.2">
      <c r="A6" s="3">
        <v>5</v>
      </c>
      <c r="B6" s="4" t="s">
        <v>21</v>
      </c>
      <c r="C6" s="5">
        <v>19.450000000000003</v>
      </c>
      <c r="D6" s="5">
        <v>43.300000000000004</v>
      </c>
      <c r="E6" s="5">
        <v>6.2500000000000018</v>
      </c>
      <c r="F6" s="5">
        <v>0.68000000000000016</v>
      </c>
      <c r="G6" s="5">
        <v>0.20000000000000004</v>
      </c>
      <c r="H6" s="5">
        <v>23.55</v>
      </c>
      <c r="I6" s="5">
        <v>20.694800000000001</v>
      </c>
      <c r="J6" s="5">
        <v>6.4</v>
      </c>
      <c r="K6" s="5"/>
      <c r="L6" s="5"/>
      <c r="M6" s="5">
        <v>898</v>
      </c>
      <c r="N6" s="5">
        <v>120</v>
      </c>
      <c r="O6" s="5">
        <v>0</v>
      </c>
      <c r="P6" s="5">
        <v>0.318</v>
      </c>
      <c r="Q6" s="5" t="s">
        <v>23</v>
      </c>
      <c r="R6" s="5">
        <v>61.999182338511858</v>
      </c>
      <c r="S6">
        <v>19.042495965572893</v>
      </c>
      <c r="T6">
        <v>34.238838084991933</v>
      </c>
      <c r="U6">
        <v>37.762237762237767</v>
      </c>
      <c r="V6">
        <v>8.9564281871974192</v>
      </c>
      <c r="W6" s="5">
        <v>4.91</v>
      </c>
      <c r="X6" s="5">
        <v>5</v>
      </c>
      <c r="Y6" s="5">
        <v>2.04</v>
      </c>
      <c r="Z6" s="6"/>
      <c r="AA6" s="5">
        <v>61</v>
      </c>
      <c r="AB6" s="5">
        <v>92</v>
      </c>
    </row>
    <row r="7" spans="1:28" x14ac:dyDescent="0.2">
      <c r="A7" s="3">
        <v>6</v>
      </c>
      <c r="B7" s="4" t="s">
        <v>21</v>
      </c>
      <c r="C7" s="5">
        <v>19.450000000000003</v>
      </c>
      <c r="D7" s="5">
        <v>43.300000000000004</v>
      </c>
      <c r="E7" s="5">
        <v>6.2500000000000018</v>
      </c>
      <c r="F7" s="5">
        <v>0.68000000000000016</v>
      </c>
      <c r="G7" s="5">
        <v>0.20000000000000004</v>
      </c>
      <c r="H7" s="5">
        <v>23.55</v>
      </c>
      <c r="I7" s="5">
        <v>20.694800000000001</v>
      </c>
      <c r="J7" s="5">
        <v>6.4</v>
      </c>
      <c r="K7" s="5"/>
      <c r="L7" s="5"/>
      <c r="M7" s="5">
        <v>932</v>
      </c>
      <c r="N7" s="5">
        <v>120</v>
      </c>
      <c r="O7" s="5">
        <v>0</v>
      </c>
      <c r="P7" s="5">
        <v>0.33200000000000002</v>
      </c>
      <c r="Q7" s="5" t="s">
        <v>23</v>
      </c>
      <c r="R7" s="5">
        <v>65.720679483267219</v>
      </c>
      <c r="S7">
        <v>22.789317507418399</v>
      </c>
      <c r="T7">
        <v>31.394658753709198</v>
      </c>
      <c r="U7">
        <v>34.59940652818991</v>
      </c>
      <c r="V7">
        <v>11.216617210682491</v>
      </c>
      <c r="W7" s="5">
        <v>4.6900000000000004</v>
      </c>
      <c r="X7" s="5">
        <v>42</v>
      </c>
      <c r="Y7" s="5">
        <v>2</v>
      </c>
      <c r="Z7" s="6"/>
      <c r="AA7" s="5">
        <v>56.999999999999993</v>
      </c>
      <c r="AB7" s="5">
        <v>79</v>
      </c>
    </row>
    <row r="8" spans="1:28" x14ac:dyDescent="0.2">
      <c r="A8" s="3">
        <v>7</v>
      </c>
      <c r="B8" s="4" t="s">
        <v>24</v>
      </c>
      <c r="C8" s="5">
        <v>42.9</v>
      </c>
      <c r="D8" s="5">
        <v>85</v>
      </c>
      <c r="E8" s="5">
        <v>13.8</v>
      </c>
      <c r="F8" s="5">
        <v>0</v>
      </c>
      <c r="G8" s="5">
        <v>0</v>
      </c>
      <c r="H8" s="5">
        <v>0</v>
      </c>
      <c r="I8" s="5">
        <v>1.002</v>
      </c>
      <c r="J8" s="5">
        <v>0.2</v>
      </c>
      <c r="K8" s="5"/>
      <c r="L8" s="5"/>
      <c r="M8" s="5">
        <v>867</v>
      </c>
      <c r="N8" s="5">
        <v>180</v>
      </c>
      <c r="O8" s="5">
        <v>0</v>
      </c>
      <c r="P8" s="5">
        <v>0.22</v>
      </c>
      <c r="Q8" s="5" t="s">
        <v>23</v>
      </c>
      <c r="R8" s="5">
        <v>67.890870933892984</v>
      </c>
      <c r="S8">
        <v>31.045751633986928</v>
      </c>
      <c r="T8">
        <v>7.8431372549019605</v>
      </c>
      <c r="U8">
        <v>31.372549019607842</v>
      </c>
      <c r="V8">
        <v>29.738562091503269</v>
      </c>
      <c r="W8" s="5">
        <v>7.5</v>
      </c>
      <c r="X8" s="5">
        <v>130</v>
      </c>
      <c r="Y8" s="5">
        <v>3.3120000000000003</v>
      </c>
      <c r="Z8" s="6"/>
      <c r="AA8" s="5">
        <v>57.999999999999993</v>
      </c>
      <c r="AB8" s="5">
        <v>60.032404510051755</v>
      </c>
    </row>
    <row r="9" spans="1:28" x14ac:dyDescent="0.2">
      <c r="A9" s="3">
        <v>8</v>
      </c>
      <c r="B9" s="4" t="s">
        <v>24</v>
      </c>
      <c r="C9" s="5">
        <v>42.9</v>
      </c>
      <c r="D9" s="5">
        <v>85</v>
      </c>
      <c r="E9" s="5">
        <v>13.8</v>
      </c>
      <c r="F9" s="5">
        <v>0</v>
      </c>
      <c r="G9" s="5">
        <v>0</v>
      </c>
      <c r="H9" s="5">
        <v>0</v>
      </c>
      <c r="I9" s="5">
        <v>1.002</v>
      </c>
      <c r="J9" s="5">
        <v>0.2</v>
      </c>
      <c r="K9" s="5"/>
      <c r="L9" s="5"/>
      <c r="M9" s="5">
        <v>898</v>
      </c>
      <c r="N9" s="5">
        <v>180</v>
      </c>
      <c r="O9" s="5">
        <v>0</v>
      </c>
      <c r="P9" s="5">
        <v>0.31</v>
      </c>
      <c r="Q9" s="5" t="s">
        <v>23</v>
      </c>
      <c r="R9" s="5">
        <v>70.981210855949897</v>
      </c>
      <c r="S9">
        <v>29.136690647482016</v>
      </c>
      <c r="T9">
        <v>7.913669064748202</v>
      </c>
      <c r="U9">
        <v>37.410071942446045</v>
      </c>
      <c r="V9">
        <v>25.539568345323744</v>
      </c>
      <c r="W9" s="5">
        <v>6.3</v>
      </c>
      <c r="X9" s="5">
        <v>81</v>
      </c>
      <c r="Y9" s="5">
        <v>4.3428571428571425</v>
      </c>
      <c r="Z9" s="6"/>
      <c r="AA9" s="5">
        <v>63</v>
      </c>
      <c r="AB9" s="5">
        <v>72.877459194756298</v>
      </c>
    </row>
    <row r="10" spans="1:28" x14ac:dyDescent="0.2">
      <c r="A10" s="3">
        <v>9</v>
      </c>
      <c r="B10" s="4" t="s">
        <v>24</v>
      </c>
      <c r="C10" s="5">
        <v>42.9</v>
      </c>
      <c r="D10" s="5">
        <v>85</v>
      </c>
      <c r="E10" s="5">
        <v>13.8</v>
      </c>
      <c r="F10" s="5">
        <v>0</v>
      </c>
      <c r="G10" s="5">
        <v>0</v>
      </c>
      <c r="H10" s="5">
        <v>0</v>
      </c>
      <c r="I10" s="5">
        <v>1.002</v>
      </c>
      <c r="J10" s="5">
        <v>0.2</v>
      </c>
      <c r="K10" s="5"/>
      <c r="L10" s="5"/>
      <c r="M10" s="5">
        <v>845</v>
      </c>
      <c r="N10" s="5">
        <v>180</v>
      </c>
      <c r="O10" s="5">
        <v>0</v>
      </c>
      <c r="P10" s="5">
        <v>0.2</v>
      </c>
      <c r="Q10" s="5" t="s">
        <v>23</v>
      </c>
      <c r="R10" s="5">
        <v>67.120418848167546</v>
      </c>
      <c r="S10">
        <v>28.980891719745223</v>
      </c>
      <c r="T10">
        <v>8.9171974522292974</v>
      </c>
      <c r="U10">
        <v>28.980891719745223</v>
      </c>
      <c r="V10">
        <v>33.121019108280258</v>
      </c>
      <c r="W10" s="5">
        <v>7.9</v>
      </c>
      <c r="X10" s="5">
        <v>160</v>
      </c>
      <c r="Y10" s="5">
        <v>2.9620253164556964</v>
      </c>
      <c r="Z10" s="6"/>
      <c r="AA10" s="5">
        <v>55.000000000000007</v>
      </c>
      <c r="AB10" s="5">
        <v>54.941085002412507</v>
      </c>
    </row>
    <row r="11" spans="1:28" x14ac:dyDescent="0.2">
      <c r="A11" s="3">
        <v>10</v>
      </c>
      <c r="B11" s="4" t="s">
        <v>24</v>
      </c>
      <c r="C11" s="5">
        <v>42.9</v>
      </c>
      <c r="D11" s="5">
        <v>85</v>
      </c>
      <c r="E11" s="5">
        <v>13.8</v>
      </c>
      <c r="F11" s="5">
        <v>0</v>
      </c>
      <c r="G11" s="5">
        <v>0</v>
      </c>
      <c r="H11" s="5">
        <v>0</v>
      </c>
      <c r="I11" s="5">
        <v>1.002</v>
      </c>
      <c r="J11" s="5">
        <v>0.2</v>
      </c>
      <c r="K11" s="5"/>
      <c r="L11" s="5"/>
      <c r="M11" s="5">
        <v>807</v>
      </c>
      <c r="N11" s="5">
        <v>180</v>
      </c>
      <c r="O11" s="5">
        <v>0</v>
      </c>
      <c r="P11" s="5">
        <v>0.27</v>
      </c>
      <c r="Q11" s="5" t="s">
        <v>23</v>
      </c>
      <c r="R11" s="5">
        <v>49.246231155778887</v>
      </c>
      <c r="S11">
        <v>53.267326732673261</v>
      </c>
      <c r="T11">
        <v>39.603960396039604</v>
      </c>
      <c r="U11">
        <v>2.7722772277227716</v>
      </c>
      <c r="V11">
        <v>4.3564356435643559</v>
      </c>
      <c r="W11" s="5">
        <v>6.5</v>
      </c>
      <c r="X11" s="5">
        <v>0</v>
      </c>
      <c r="Y11" s="5">
        <v>5.4276923076923076</v>
      </c>
      <c r="Z11" s="6"/>
      <c r="AA11" s="5">
        <v>82</v>
      </c>
      <c r="AB11" s="5">
        <v>76.444539247189127</v>
      </c>
    </row>
    <row r="12" spans="1:28" x14ac:dyDescent="0.2">
      <c r="A12" s="3">
        <v>11</v>
      </c>
      <c r="B12" s="4" t="s">
        <v>24</v>
      </c>
      <c r="C12" s="5">
        <v>42.9</v>
      </c>
      <c r="D12" s="5">
        <v>85</v>
      </c>
      <c r="E12" s="5">
        <v>13.8</v>
      </c>
      <c r="F12" s="5">
        <v>0</v>
      </c>
      <c r="G12" s="5">
        <v>0</v>
      </c>
      <c r="H12" s="5">
        <v>0</v>
      </c>
      <c r="I12" s="5">
        <v>1.002</v>
      </c>
      <c r="J12" s="5">
        <v>0.2</v>
      </c>
      <c r="K12" s="5"/>
      <c r="L12" s="5"/>
      <c r="M12" s="5">
        <v>819</v>
      </c>
      <c r="N12" s="5">
        <v>180</v>
      </c>
      <c r="O12" s="5">
        <v>0</v>
      </c>
      <c r="P12" s="5">
        <v>0.2</v>
      </c>
      <c r="Q12" s="5" t="s">
        <v>23</v>
      </c>
      <c r="R12" s="5">
        <v>45.740365111561864</v>
      </c>
      <c r="S12">
        <v>56.261682242990652</v>
      </c>
      <c r="T12">
        <v>34.392523364485974</v>
      </c>
      <c r="U12">
        <v>2.9906542056074761</v>
      </c>
      <c r="V12">
        <v>6.3551401869158877</v>
      </c>
      <c r="W12" s="5">
        <v>7.6000000000000005</v>
      </c>
      <c r="X12" s="5">
        <v>0</v>
      </c>
      <c r="Y12" s="5">
        <v>4.1684210526315795</v>
      </c>
      <c r="Z12" s="6"/>
      <c r="AA12" s="5">
        <v>74</v>
      </c>
      <c r="AB12" s="5">
        <v>62.719851229077399</v>
      </c>
    </row>
    <row r="13" spans="1:28" x14ac:dyDescent="0.2">
      <c r="A13" s="3">
        <v>12</v>
      </c>
      <c r="B13" s="4" t="s">
        <v>24</v>
      </c>
      <c r="C13" s="5">
        <v>42.9</v>
      </c>
      <c r="D13" s="5">
        <v>85</v>
      </c>
      <c r="E13" s="5">
        <v>13.8</v>
      </c>
      <c r="F13" s="5">
        <v>0</v>
      </c>
      <c r="G13" s="5">
        <v>0</v>
      </c>
      <c r="H13" s="5">
        <v>0</v>
      </c>
      <c r="I13" s="5">
        <v>1.002</v>
      </c>
      <c r="J13" s="5">
        <v>0.2</v>
      </c>
      <c r="K13" s="5"/>
      <c r="L13" s="5"/>
      <c r="M13" s="5">
        <v>816</v>
      </c>
      <c r="N13" s="5">
        <v>180</v>
      </c>
      <c r="O13" s="5">
        <v>0</v>
      </c>
      <c r="P13" s="5">
        <v>0.28000000000000003</v>
      </c>
      <c r="Q13" s="5" t="s">
        <v>23</v>
      </c>
      <c r="R13" s="5">
        <v>48.743718592964832</v>
      </c>
      <c r="S13">
        <v>53.137254901960787</v>
      </c>
      <c r="T13">
        <v>39.411764705882355</v>
      </c>
      <c r="U13">
        <v>3.3333333333333335</v>
      </c>
      <c r="V13">
        <v>4.117647058823529</v>
      </c>
      <c r="W13" s="5">
        <v>6.5</v>
      </c>
      <c r="X13" s="5">
        <v>0</v>
      </c>
      <c r="Y13" s="5">
        <v>5.6492307692307691</v>
      </c>
      <c r="Z13" s="6"/>
      <c r="AA13" s="5">
        <v>85</v>
      </c>
      <c r="AB13" s="5">
        <v>80.625716027446131</v>
      </c>
    </row>
    <row r="14" spans="1:28" x14ac:dyDescent="0.2">
      <c r="A14" s="3">
        <v>13</v>
      </c>
      <c r="B14" s="4" t="s">
        <v>24</v>
      </c>
      <c r="C14" s="5">
        <v>42.9</v>
      </c>
      <c r="D14" s="5">
        <v>85</v>
      </c>
      <c r="E14" s="5">
        <v>13.8</v>
      </c>
      <c r="F14" s="5">
        <v>0</v>
      </c>
      <c r="G14" s="5">
        <v>0</v>
      </c>
      <c r="H14" s="5">
        <v>0</v>
      </c>
      <c r="I14" s="5">
        <v>1.002</v>
      </c>
      <c r="J14" s="5">
        <v>0.2</v>
      </c>
      <c r="K14" s="5"/>
      <c r="L14" s="5"/>
      <c r="M14" s="5">
        <v>825</v>
      </c>
      <c r="N14" s="5">
        <v>180</v>
      </c>
      <c r="O14" s="5">
        <v>0</v>
      </c>
      <c r="P14" s="5">
        <v>0.31</v>
      </c>
      <c r="Q14" s="5" t="s">
        <v>23</v>
      </c>
      <c r="R14" s="5">
        <v>50.756811301715445</v>
      </c>
      <c r="S14">
        <v>49.180327868852451</v>
      </c>
      <c r="T14">
        <v>39.959016393442617</v>
      </c>
      <c r="U14">
        <v>6.7622950819672125</v>
      </c>
      <c r="V14">
        <v>4.0983606557377046</v>
      </c>
      <c r="W14" s="5">
        <v>6.3</v>
      </c>
      <c r="X14" s="5">
        <v>0</v>
      </c>
      <c r="Y14" s="5">
        <v>6.0000000000000009</v>
      </c>
      <c r="Z14" s="6"/>
      <c r="AA14" s="5">
        <v>88</v>
      </c>
      <c r="AB14" s="5">
        <v>92.090861152941159</v>
      </c>
    </row>
    <row r="15" spans="1:28" x14ac:dyDescent="0.2">
      <c r="A15" s="3">
        <v>14</v>
      </c>
      <c r="B15" s="4" t="s">
        <v>24</v>
      </c>
      <c r="C15" s="5">
        <v>42.9</v>
      </c>
      <c r="D15" s="5">
        <v>85</v>
      </c>
      <c r="E15" s="5">
        <v>13.8</v>
      </c>
      <c r="F15" s="5">
        <v>0</v>
      </c>
      <c r="G15" s="5">
        <v>0</v>
      </c>
      <c r="H15" s="5">
        <v>0</v>
      </c>
      <c r="I15" s="5">
        <v>1.002</v>
      </c>
      <c r="J15" s="5">
        <v>0.2</v>
      </c>
      <c r="K15" s="5"/>
      <c r="L15" s="5"/>
      <c r="M15" s="5">
        <v>825</v>
      </c>
      <c r="N15" s="5">
        <v>180</v>
      </c>
      <c r="O15" s="5">
        <v>0</v>
      </c>
      <c r="P15" s="5">
        <v>0.21</v>
      </c>
      <c r="Q15" s="5" t="s">
        <v>23</v>
      </c>
      <c r="R15" s="5">
        <v>44.848484848484851</v>
      </c>
      <c r="S15">
        <v>56.410256410256409</v>
      </c>
      <c r="T15">
        <v>34.798534798534796</v>
      </c>
      <c r="U15">
        <v>2.9304029304029302</v>
      </c>
      <c r="V15">
        <v>5.8608058608058604</v>
      </c>
      <c r="W15" s="5">
        <v>7.5</v>
      </c>
      <c r="X15" s="5">
        <v>0</v>
      </c>
      <c r="Y15" s="5">
        <v>4.8</v>
      </c>
      <c r="Z15" s="6"/>
      <c r="AA15" s="5">
        <v>84</v>
      </c>
      <c r="AB15" s="5">
        <v>71.051350497882325</v>
      </c>
    </row>
    <row r="16" spans="1:28" x14ac:dyDescent="0.2">
      <c r="A16" s="3">
        <v>15</v>
      </c>
      <c r="B16" s="4" t="s">
        <v>24</v>
      </c>
      <c r="C16" s="5">
        <v>42.9</v>
      </c>
      <c r="D16" s="5">
        <v>85</v>
      </c>
      <c r="E16" s="5">
        <v>13.8</v>
      </c>
      <c r="F16" s="5">
        <v>0</v>
      </c>
      <c r="G16" s="5">
        <v>0</v>
      </c>
      <c r="H16" s="5">
        <v>0</v>
      </c>
      <c r="I16" s="5">
        <v>1.002</v>
      </c>
      <c r="J16" s="5">
        <v>0.2</v>
      </c>
      <c r="K16" s="5"/>
      <c r="L16" s="5"/>
      <c r="M16" s="5">
        <v>850</v>
      </c>
      <c r="N16" s="5">
        <v>180</v>
      </c>
      <c r="O16" s="5">
        <v>0</v>
      </c>
      <c r="P16" s="5">
        <v>0.28999999999999998</v>
      </c>
      <c r="Q16" s="5" t="s">
        <v>23</v>
      </c>
      <c r="R16" s="5">
        <v>47.247247247247245</v>
      </c>
      <c r="S16">
        <v>55.218216318785572</v>
      </c>
      <c r="T16">
        <v>39.658444022770404</v>
      </c>
      <c r="U16">
        <v>2.2770398481973428</v>
      </c>
      <c r="V16">
        <v>2.8462998102466797</v>
      </c>
      <c r="W16" s="5">
        <v>6.4</v>
      </c>
      <c r="X16" s="5">
        <v>0</v>
      </c>
      <c r="Y16" s="5">
        <v>6.1875</v>
      </c>
      <c r="Z16" s="6"/>
      <c r="AA16" s="5">
        <v>92</v>
      </c>
      <c r="AB16" s="5">
        <v>84.141146761213207</v>
      </c>
    </row>
    <row r="17" spans="1:28" x14ac:dyDescent="0.2">
      <c r="A17" s="3">
        <v>16</v>
      </c>
      <c r="B17" s="4" t="s">
        <v>24</v>
      </c>
      <c r="C17" s="5">
        <v>42.9</v>
      </c>
      <c r="D17" s="5">
        <v>85</v>
      </c>
      <c r="E17" s="5">
        <v>13.8</v>
      </c>
      <c r="F17" s="5">
        <v>0</v>
      </c>
      <c r="G17" s="5">
        <v>0</v>
      </c>
      <c r="H17" s="5">
        <v>0</v>
      </c>
      <c r="I17" s="5">
        <v>1.002</v>
      </c>
      <c r="J17" s="5">
        <v>0.2</v>
      </c>
      <c r="K17" s="5"/>
      <c r="L17" s="5"/>
      <c r="M17" s="5">
        <v>856</v>
      </c>
      <c r="N17" s="5">
        <v>180</v>
      </c>
      <c r="O17" s="5">
        <v>0</v>
      </c>
      <c r="P17" s="5">
        <v>0.3</v>
      </c>
      <c r="Q17" s="5" t="s">
        <v>23</v>
      </c>
      <c r="R17" s="5">
        <v>57.346938775510203</v>
      </c>
      <c r="S17">
        <v>35.167464114832541</v>
      </c>
      <c r="T17">
        <v>43.779904306220104</v>
      </c>
      <c r="U17">
        <v>7.4162679425837332</v>
      </c>
      <c r="V17">
        <v>13.636363636363638</v>
      </c>
      <c r="W17" s="5">
        <v>7.1000000000000005</v>
      </c>
      <c r="X17" s="5">
        <v>0</v>
      </c>
      <c r="Y17" s="5">
        <v>5.6788732394366193</v>
      </c>
      <c r="Z17" s="6"/>
      <c r="AA17" s="5">
        <v>94</v>
      </c>
      <c r="AB17" s="5">
        <v>101.95731218553104</v>
      </c>
    </row>
    <row r="18" spans="1:28" x14ac:dyDescent="0.2">
      <c r="A18" s="3">
        <v>17</v>
      </c>
      <c r="B18" s="4" t="s">
        <v>24</v>
      </c>
      <c r="C18" s="5">
        <v>42.9</v>
      </c>
      <c r="D18" s="5">
        <v>84.4</v>
      </c>
      <c r="E18" s="5">
        <v>14</v>
      </c>
      <c r="F18" s="5">
        <v>0</v>
      </c>
      <c r="G18" s="5">
        <v>0</v>
      </c>
      <c r="H18" s="5">
        <v>0</v>
      </c>
      <c r="I18" s="5">
        <v>1.3038999999999998</v>
      </c>
      <c r="J18" s="5">
        <v>0.3</v>
      </c>
      <c r="K18" s="5"/>
      <c r="L18" s="5"/>
      <c r="M18" s="5">
        <v>818</v>
      </c>
      <c r="N18" s="5">
        <v>180</v>
      </c>
      <c r="O18" s="5">
        <v>0</v>
      </c>
      <c r="P18" s="5">
        <v>0.23</v>
      </c>
      <c r="Q18" s="5" t="s">
        <v>23</v>
      </c>
      <c r="R18" s="5">
        <v>46.478873239436624</v>
      </c>
      <c r="S18">
        <v>57.518796992481214</v>
      </c>
      <c r="T18">
        <v>32.894736842105267</v>
      </c>
      <c r="U18">
        <v>4.3233082706766908</v>
      </c>
      <c r="V18">
        <v>5.2631578947368416</v>
      </c>
      <c r="W18" s="5">
        <v>6.9</v>
      </c>
      <c r="X18" s="5">
        <v>0</v>
      </c>
      <c r="Y18" s="5">
        <v>4.9043478260869566</v>
      </c>
      <c r="Z18" s="6"/>
      <c r="AA18" s="5">
        <v>79</v>
      </c>
      <c r="AB18" s="5">
        <v>67.345533152394083</v>
      </c>
    </row>
    <row r="19" spans="1:28" x14ac:dyDescent="0.2">
      <c r="A19" s="3">
        <v>18</v>
      </c>
      <c r="B19" s="4" t="s">
        <v>24</v>
      </c>
      <c r="C19" s="5">
        <v>42.9</v>
      </c>
      <c r="D19" s="5">
        <v>84.4</v>
      </c>
      <c r="E19" s="5">
        <v>14</v>
      </c>
      <c r="F19" s="5">
        <v>0</v>
      </c>
      <c r="G19" s="5">
        <v>0</v>
      </c>
      <c r="H19" s="5">
        <v>0</v>
      </c>
      <c r="I19" s="5">
        <v>1.3038999999999998</v>
      </c>
      <c r="J19" s="5">
        <v>0.3</v>
      </c>
      <c r="K19" s="5"/>
      <c r="L19" s="5"/>
      <c r="M19" s="5">
        <v>831</v>
      </c>
      <c r="N19" s="5">
        <v>180</v>
      </c>
      <c r="O19" s="5">
        <v>0</v>
      </c>
      <c r="P19" s="5">
        <v>0.27</v>
      </c>
      <c r="Q19" s="5" t="s">
        <v>23</v>
      </c>
      <c r="R19" s="5">
        <v>46.633165829145732</v>
      </c>
      <c r="S19">
        <v>53.107344632768353</v>
      </c>
      <c r="T19">
        <v>39.736346516007529</v>
      </c>
      <c r="U19">
        <v>2.8248587570621466</v>
      </c>
      <c r="V19">
        <v>4.3314500941619567</v>
      </c>
      <c r="W19" s="5">
        <v>6.8</v>
      </c>
      <c r="X19" s="5">
        <v>0</v>
      </c>
      <c r="Y19" s="5">
        <v>5.8235294117647065</v>
      </c>
      <c r="Z19" s="6"/>
      <c r="AA19" s="5">
        <v>93</v>
      </c>
      <c r="AB19" s="5">
        <v>86.616530544159701</v>
      </c>
    </row>
    <row r="20" spans="1:28" x14ac:dyDescent="0.2">
      <c r="A20" s="3">
        <v>19</v>
      </c>
      <c r="B20" s="4" t="s">
        <v>24</v>
      </c>
      <c r="C20" s="5">
        <v>42.9</v>
      </c>
      <c r="D20" s="5">
        <v>84.4</v>
      </c>
      <c r="E20" s="5">
        <v>14</v>
      </c>
      <c r="F20" s="5">
        <v>0</v>
      </c>
      <c r="G20" s="5">
        <v>0</v>
      </c>
      <c r="H20" s="5">
        <v>0</v>
      </c>
      <c r="I20" s="5">
        <v>1.3038999999999998</v>
      </c>
      <c r="J20" s="5">
        <v>0.3</v>
      </c>
      <c r="K20" s="5"/>
      <c r="L20" s="5"/>
      <c r="M20" s="5">
        <v>829</v>
      </c>
      <c r="N20" s="5">
        <v>180</v>
      </c>
      <c r="O20" s="5">
        <v>0</v>
      </c>
      <c r="P20" s="5">
        <v>0.24</v>
      </c>
      <c r="Q20" s="5" t="s">
        <v>23</v>
      </c>
      <c r="R20" s="5">
        <v>46.022155085599195</v>
      </c>
      <c r="S20">
        <v>55.037313432835823</v>
      </c>
      <c r="T20">
        <v>37.126865671641788</v>
      </c>
      <c r="U20">
        <v>3.1716417910447769</v>
      </c>
      <c r="V20">
        <v>4.6641791044776131</v>
      </c>
      <c r="W20" s="5">
        <v>7</v>
      </c>
      <c r="X20" s="5">
        <v>0</v>
      </c>
      <c r="Y20" s="5">
        <v>5.1428571428571432</v>
      </c>
      <c r="Z20" s="6"/>
      <c r="AA20" s="5">
        <v>84</v>
      </c>
      <c r="AB20" s="5">
        <v>75.428583503542384</v>
      </c>
    </row>
    <row r="21" spans="1:28" x14ac:dyDescent="0.2">
      <c r="A21" s="3">
        <v>20</v>
      </c>
      <c r="B21" s="4" t="s">
        <v>24</v>
      </c>
      <c r="C21" s="5">
        <v>42.9</v>
      </c>
      <c r="D21" s="5">
        <v>84.4</v>
      </c>
      <c r="E21" s="5">
        <v>14</v>
      </c>
      <c r="F21" s="5">
        <v>0</v>
      </c>
      <c r="G21" s="5">
        <v>0</v>
      </c>
      <c r="H21" s="5">
        <v>0</v>
      </c>
      <c r="I21" s="5">
        <v>1.3038999999999998</v>
      </c>
      <c r="J21" s="5">
        <v>0.3</v>
      </c>
      <c r="K21" s="5"/>
      <c r="L21" s="5"/>
      <c r="M21" s="5">
        <v>879</v>
      </c>
      <c r="N21" s="5">
        <v>180</v>
      </c>
      <c r="O21" s="5">
        <v>0</v>
      </c>
      <c r="P21" s="5">
        <v>0.28999999999999998</v>
      </c>
      <c r="Q21" s="5" t="s">
        <v>23</v>
      </c>
      <c r="R21" s="5">
        <v>56.147540983606568</v>
      </c>
      <c r="S21">
        <v>32.009345794392523</v>
      </c>
      <c r="T21">
        <v>39.018691588785046</v>
      </c>
      <c r="U21">
        <v>11.915887850467289</v>
      </c>
      <c r="V21">
        <v>17.056074766355138</v>
      </c>
      <c r="W21" s="5">
        <v>7.7</v>
      </c>
      <c r="X21" s="5">
        <v>0</v>
      </c>
      <c r="Y21" s="5">
        <v>5.1428571428571432</v>
      </c>
      <c r="Z21" s="6"/>
      <c r="AA21" s="5">
        <v>93</v>
      </c>
      <c r="AB21" s="5">
        <v>101.55304783854578</v>
      </c>
    </row>
    <row r="22" spans="1:28" x14ac:dyDescent="0.2">
      <c r="A22" s="3">
        <v>21</v>
      </c>
      <c r="B22" s="4" t="s">
        <v>24</v>
      </c>
      <c r="C22" s="5">
        <v>33.4</v>
      </c>
      <c r="D22" s="5">
        <v>68.099999999999994</v>
      </c>
      <c r="E22" s="5">
        <v>10.199999999999999</v>
      </c>
      <c r="F22" s="5">
        <v>0</v>
      </c>
      <c r="G22" s="5">
        <v>0.1</v>
      </c>
      <c r="H22" s="5">
        <v>14.3</v>
      </c>
      <c r="I22" s="5">
        <v>6.7402000000000006</v>
      </c>
      <c r="J22" s="5">
        <v>0.6</v>
      </c>
      <c r="K22" s="5"/>
      <c r="L22" s="5"/>
      <c r="M22" s="5">
        <v>914</v>
      </c>
      <c r="N22" s="5">
        <v>180</v>
      </c>
      <c r="O22" s="5">
        <v>0</v>
      </c>
      <c r="P22" s="5">
        <v>0.31</v>
      </c>
      <c r="Q22" s="5" t="s">
        <v>23</v>
      </c>
      <c r="R22" s="5">
        <v>70.184426229508205</v>
      </c>
      <c r="S22">
        <v>22.680412371134022</v>
      </c>
      <c r="T22">
        <v>16.494845360824741</v>
      </c>
      <c r="U22">
        <v>39.175257731958766</v>
      </c>
      <c r="V22">
        <v>21.649484536082475</v>
      </c>
      <c r="W22" s="5">
        <v>5.2</v>
      </c>
      <c r="X22" s="5">
        <v>56</v>
      </c>
      <c r="Y22" s="5">
        <v>3.3230769230769233</v>
      </c>
      <c r="Z22" s="6"/>
      <c r="AA22" s="5">
        <v>52</v>
      </c>
      <c r="AB22" s="5">
        <v>63.45004886983007</v>
      </c>
    </row>
    <row r="23" spans="1:28" x14ac:dyDescent="0.2">
      <c r="A23" s="3">
        <v>22</v>
      </c>
      <c r="B23" s="4" t="s">
        <v>24</v>
      </c>
      <c r="C23" s="5">
        <v>33.4</v>
      </c>
      <c r="D23" s="5">
        <v>68.099999999999994</v>
      </c>
      <c r="E23" s="5">
        <v>10.199999999999999</v>
      </c>
      <c r="F23" s="5">
        <v>0</v>
      </c>
      <c r="G23" s="5">
        <v>0.1</v>
      </c>
      <c r="H23" s="5">
        <v>14.3</v>
      </c>
      <c r="I23" s="5">
        <v>6.7402000000000006</v>
      </c>
      <c r="J23" s="5">
        <v>0.6</v>
      </c>
      <c r="K23" s="5"/>
      <c r="L23" s="5"/>
      <c r="M23" s="5">
        <v>884</v>
      </c>
      <c r="N23" s="5">
        <v>180</v>
      </c>
      <c r="O23" s="5">
        <v>0</v>
      </c>
      <c r="P23" s="5">
        <v>0.25</v>
      </c>
      <c r="Q23" s="5" t="s">
        <v>23</v>
      </c>
      <c r="R23" s="5">
        <v>66.666666666666671</v>
      </c>
      <c r="S23">
        <v>24.922118380062301</v>
      </c>
      <c r="T23">
        <v>14.330218068535824</v>
      </c>
      <c r="U23">
        <v>36.137071651090338</v>
      </c>
      <c r="V23">
        <v>24.610591900311523</v>
      </c>
      <c r="W23" s="5">
        <v>6.4</v>
      </c>
      <c r="X23" s="5">
        <v>55</v>
      </c>
      <c r="Y23" s="5">
        <v>3.0375000000000001</v>
      </c>
      <c r="Z23" s="6"/>
      <c r="AA23" s="5">
        <v>57.999999999999993</v>
      </c>
      <c r="AB23" s="5">
        <v>66.732484927885878</v>
      </c>
    </row>
    <row r="24" spans="1:28" x14ac:dyDescent="0.2">
      <c r="A24" s="3">
        <v>23</v>
      </c>
      <c r="B24" s="4" t="s">
        <v>24</v>
      </c>
      <c r="C24" s="5">
        <v>33.4</v>
      </c>
      <c r="D24" s="5">
        <v>68.099999999999994</v>
      </c>
      <c r="E24" s="5">
        <v>10.199999999999999</v>
      </c>
      <c r="F24" s="5">
        <v>0</v>
      </c>
      <c r="G24" s="5">
        <v>0.1</v>
      </c>
      <c r="H24" s="5">
        <v>14.3</v>
      </c>
      <c r="I24" s="5">
        <v>6.7402000000000006</v>
      </c>
      <c r="J24" s="5">
        <v>0.6</v>
      </c>
      <c r="K24" s="5"/>
      <c r="L24" s="5"/>
      <c r="M24" s="5">
        <v>869</v>
      </c>
      <c r="N24" s="5">
        <v>180</v>
      </c>
      <c r="O24" s="5">
        <v>0</v>
      </c>
      <c r="P24" s="5">
        <v>0.22</v>
      </c>
      <c r="Q24" s="5" t="s">
        <v>23</v>
      </c>
      <c r="R24" s="5">
        <v>69.642857142857153</v>
      </c>
      <c r="S24">
        <v>23.52941176470588</v>
      </c>
      <c r="T24">
        <v>12.802768166089967</v>
      </c>
      <c r="U24">
        <v>38.408304498269899</v>
      </c>
      <c r="V24">
        <v>25.259515570934255</v>
      </c>
      <c r="W24" s="5">
        <v>6.8</v>
      </c>
      <c r="X24" s="5">
        <v>99</v>
      </c>
      <c r="Y24" s="5">
        <v>2.6470588235294117</v>
      </c>
      <c r="Z24" s="6"/>
      <c r="AA24" s="5">
        <v>54</v>
      </c>
      <c r="AB24" s="5">
        <v>58.540799197025507</v>
      </c>
    </row>
    <row r="25" spans="1:28" x14ac:dyDescent="0.2">
      <c r="A25" s="3">
        <v>24</v>
      </c>
      <c r="B25" s="4" t="s">
        <v>24</v>
      </c>
      <c r="C25" s="5">
        <v>40.200000000000003</v>
      </c>
      <c r="D25" s="5">
        <v>79.500000000000028</v>
      </c>
      <c r="E25" s="5">
        <v>13.100000000000001</v>
      </c>
      <c r="F25" s="5">
        <v>0.20000000000000004</v>
      </c>
      <c r="G25" s="5">
        <v>0.10000000000000002</v>
      </c>
      <c r="H25" s="5">
        <v>4.5000000000000009</v>
      </c>
      <c r="I25" s="5">
        <v>1.9133000000000002</v>
      </c>
      <c r="J25" s="5">
        <v>0.7</v>
      </c>
      <c r="K25" s="5"/>
      <c r="L25" s="5"/>
      <c r="M25" s="5">
        <v>894</v>
      </c>
      <c r="N25" s="5">
        <v>180</v>
      </c>
      <c r="O25" s="5">
        <v>0</v>
      </c>
      <c r="P25" s="5">
        <v>0.27</v>
      </c>
      <c r="Q25" s="5" t="s">
        <v>23</v>
      </c>
      <c r="R25" s="5">
        <v>67.9089026915114</v>
      </c>
      <c r="S25">
        <v>27.741935483870968</v>
      </c>
      <c r="T25">
        <v>17.096774193548388</v>
      </c>
      <c r="U25">
        <v>31.612903225806456</v>
      </c>
      <c r="V25">
        <v>23.548387096774196</v>
      </c>
      <c r="W25" s="5">
        <v>6.4</v>
      </c>
      <c r="X25" s="5">
        <v>59</v>
      </c>
      <c r="Y25" s="5">
        <v>3.7687499999999998</v>
      </c>
      <c r="Z25" s="6"/>
      <c r="AA25" s="5">
        <v>60</v>
      </c>
      <c r="AB25" s="5">
        <v>68.868693176287636</v>
      </c>
    </row>
    <row r="26" spans="1:28" x14ac:dyDescent="0.2">
      <c r="A26" s="3">
        <v>25</v>
      </c>
      <c r="B26" s="4" t="s">
        <v>24</v>
      </c>
      <c r="C26" s="5">
        <v>40.200000000000003</v>
      </c>
      <c r="D26" s="5">
        <v>79.500000000000028</v>
      </c>
      <c r="E26" s="5">
        <v>13.100000000000001</v>
      </c>
      <c r="F26" s="5">
        <v>0.20000000000000004</v>
      </c>
      <c r="G26" s="5">
        <v>0.10000000000000002</v>
      </c>
      <c r="H26" s="5">
        <v>4.5000000000000009</v>
      </c>
      <c r="I26" s="5">
        <v>1.9133000000000002</v>
      </c>
      <c r="J26" s="5">
        <v>0.7</v>
      </c>
      <c r="K26" s="5"/>
      <c r="L26" s="5"/>
      <c r="M26" s="5">
        <v>890</v>
      </c>
      <c r="N26" s="5">
        <v>180</v>
      </c>
      <c r="O26" s="5">
        <v>0</v>
      </c>
      <c r="P26" s="5">
        <v>0.24</v>
      </c>
      <c r="Q26" s="5" t="s">
        <v>23</v>
      </c>
      <c r="R26" s="5">
        <v>64.482029598308671</v>
      </c>
      <c r="S26">
        <v>28.571428571428569</v>
      </c>
      <c r="T26">
        <v>13.392857142857146</v>
      </c>
      <c r="U26">
        <v>32.44047619047619</v>
      </c>
      <c r="V26">
        <v>25.595238095238095</v>
      </c>
      <c r="W26" s="5">
        <v>7.9</v>
      </c>
      <c r="X26" s="5">
        <v>32</v>
      </c>
      <c r="Y26" s="5">
        <v>3.5088607594936709</v>
      </c>
      <c r="Z26" s="6"/>
      <c r="AA26" s="5">
        <v>69</v>
      </c>
      <c r="AB26" s="5">
        <v>76.441030928933358</v>
      </c>
    </row>
    <row r="27" spans="1:28" x14ac:dyDescent="0.2">
      <c r="A27" s="3">
        <v>26</v>
      </c>
      <c r="B27" s="4" t="s">
        <v>24</v>
      </c>
      <c r="C27" s="5">
        <v>25.400000000000002</v>
      </c>
      <c r="D27" s="5">
        <v>53.899999999999991</v>
      </c>
      <c r="E27" s="5">
        <v>7.7</v>
      </c>
      <c r="F27" s="5">
        <v>0.49999999999999994</v>
      </c>
      <c r="G27" s="5">
        <v>9.9999999999999992E-2</v>
      </c>
      <c r="H27" s="5">
        <v>26.3</v>
      </c>
      <c r="I27" s="5">
        <v>6.2304000000000004</v>
      </c>
      <c r="J27" s="5">
        <v>5.6</v>
      </c>
      <c r="K27" s="5"/>
      <c r="L27" s="5"/>
      <c r="M27" s="5">
        <v>879</v>
      </c>
      <c r="N27" s="5">
        <v>180</v>
      </c>
      <c r="O27" s="5">
        <v>0</v>
      </c>
      <c r="P27" s="5">
        <v>0.26</v>
      </c>
      <c r="Q27" s="5" t="s">
        <v>23</v>
      </c>
      <c r="R27" s="5">
        <v>56.996935648621047</v>
      </c>
      <c r="S27">
        <v>23.51543942992874</v>
      </c>
      <c r="T27">
        <v>27.553444180522561</v>
      </c>
      <c r="U27">
        <v>33.966745843230406</v>
      </c>
      <c r="V27">
        <v>14.964370546318287</v>
      </c>
      <c r="W27" s="5">
        <v>6.2</v>
      </c>
      <c r="X27" s="5">
        <v>19</v>
      </c>
      <c r="Y27" s="5">
        <v>2.4387096774193551</v>
      </c>
      <c r="Z27" s="6"/>
      <c r="AA27" s="5">
        <v>60</v>
      </c>
      <c r="AB27" s="5">
        <v>74.270694432959488</v>
      </c>
    </row>
    <row r="28" spans="1:28" x14ac:dyDescent="0.2">
      <c r="A28" s="3">
        <v>27</v>
      </c>
      <c r="B28" s="4" t="s">
        <v>24</v>
      </c>
      <c r="C28" s="5">
        <v>25.400000000000002</v>
      </c>
      <c r="D28" s="5">
        <v>53.899999999999991</v>
      </c>
      <c r="E28" s="5">
        <v>7.7</v>
      </c>
      <c r="F28" s="5">
        <v>0.49999999999999994</v>
      </c>
      <c r="G28" s="5">
        <v>9.9999999999999992E-2</v>
      </c>
      <c r="H28" s="5">
        <v>26.3</v>
      </c>
      <c r="I28" s="5">
        <v>6.2304000000000004</v>
      </c>
      <c r="J28" s="5">
        <v>5.6</v>
      </c>
      <c r="K28" s="5"/>
      <c r="L28" s="5"/>
      <c r="M28" s="5">
        <v>915</v>
      </c>
      <c r="N28" s="5">
        <v>180</v>
      </c>
      <c r="O28" s="5">
        <v>0</v>
      </c>
      <c r="P28" s="5">
        <v>0.31</v>
      </c>
      <c r="Q28" s="5" t="s">
        <v>23</v>
      </c>
      <c r="R28" s="5">
        <v>61.6243654822335</v>
      </c>
      <c r="S28">
        <v>20.899470899470899</v>
      </c>
      <c r="T28">
        <v>28.835978835978832</v>
      </c>
      <c r="U28">
        <v>37.301587301587297</v>
      </c>
      <c r="V28">
        <v>12.962962962962962</v>
      </c>
      <c r="W28" s="5">
        <v>5</v>
      </c>
      <c r="X28" s="5">
        <v>14</v>
      </c>
      <c r="Y28" s="5">
        <v>2.7359999999999998</v>
      </c>
      <c r="Z28" s="6"/>
      <c r="AA28" s="5">
        <v>54</v>
      </c>
      <c r="AB28" s="5">
        <v>75.507174470425454</v>
      </c>
    </row>
    <row r="29" spans="1:28" x14ac:dyDescent="0.2">
      <c r="A29" s="3">
        <v>28</v>
      </c>
      <c r="B29" s="4" t="s">
        <v>25</v>
      </c>
      <c r="C29" s="5">
        <v>27.3</v>
      </c>
      <c r="D29" s="5">
        <v>56.79999999999999</v>
      </c>
      <c r="E29" s="5">
        <v>8.3000000000000007</v>
      </c>
      <c r="F29" s="5">
        <v>0.5</v>
      </c>
      <c r="G29" s="5">
        <v>0.6</v>
      </c>
      <c r="H29" s="5">
        <v>15.7</v>
      </c>
      <c r="I29" s="5">
        <v>16.5078</v>
      </c>
      <c r="J29" s="5">
        <v>1.9</v>
      </c>
      <c r="K29" s="5"/>
      <c r="L29" s="5"/>
      <c r="M29" s="5">
        <v>899</v>
      </c>
      <c r="N29" s="5">
        <v>180</v>
      </c>
      <c r="O29" s="5">
        <v>0</v>
      </c>
      <c r="P29" s="5">
        <v>0.34</v>
      </c>
      <c r="Q29" s="5" t="s">
        <v>23</v>
      </c>
      <c r="R29" s="5">
        <v>65.885947046843171</v>
      </c>
      <c r="S29">
        <v>17.611940298507463</v>
      </c>
      <c r="T29">
        <v>22.686567164179102</v>
      </c>
      <c r="U29">
        <v>40</v>
      </c>
      <c r="V29">
        <v>19.701492537313435</v>
      </c>
      <c r="W29" s="5">
        <v>5.2</v>
      </c>
      <c r="X29" s="5">
        <v>15</v>
      </c>
      <c r="Y29" s="5">
        <v>2.4923076923076923</v>
      </c>
      <c r="Z29" s="6"/>
      <c r="AA29" s="5">
        <v>48</v>
      </c>
      <c r="AB29" s="5">
        <v>57.360775497833927</v>
      </c>
    </row>
    <row r="30" spans="1:28" x14ac:dyDescent="0.2">
      <c r="A30" s="3">
        <v>29</v>
      </c>
      <c r="B30" s="4" t="s">
        <v>25</v>
      </c>
      <c r="C30" s="5">
        <v>27.3</v>
      </c>
      <c r="D30" s="5">
        <v>56.79999999999999</v>
      </c>
      <c r="E30" s="5">
        <v>8.3000000000000007</v>
      </c>
      <c r="F30" s="5">
        <v>0.5</v>
      </c>
      <c r="G30" s="5">
        <v>0.6</v>
      </c>
      <c r="H30" s="5">
        <v>15.7</v>
      </c>
      <c r="I30" s="5">
        <v>16.5078</v>
      </c>
      <c r="J30" s="5">
        <v>1.9</v>
      </c>
      <c r="K30" s="5"/>
      <c r="L30" s="5"/>
      <c r="M30" s="5">
        <v>896</v>
      </c>
      <c r="N30" s="5">
        <v>180</v>
      </c>
      <c r="O30" s="5">
        <v>0</v>
      </c>
      <c r="P30" s="5">
        <v>0.28000000000000003</v>
      </c>
      <c r="Q30" s="5" t="s">
        <v>23</v>
      </c>
      <c r="R30" s="5">
        <v>63.441955193482677</v>
      </c>
      <c r="S30">
        <v>22.005571030640674</v>
      </c>
      <c r="T30">
        <v>24.233983286908078</v>
      </c>
      <c r="U30">
        <v>34.261838440111418</v>
      </c>
      <c r="V30">
        <v>19.498607242339833</v>
      </c>
      <c r="W30" s="5">
        <v>5.7</v>
      </c>
      <c r="X30" s="5">
        <v>43</v>
      </c>
      <c r="Y30" s="5">
        <v>2.2105263157894735</v>
      </c>
      <c r="Z30" s="6"/>
      <c r="AA30" s="5">
        <v>46</v>
      </c>
      <c r="AB30" s="5">
        <v>51.321773536045214</v>
      </c>
    </row>
    <row r="31" spans="1:28" x14ac:dyDescent="0.2">
      <c r="A31" s="3">
        <v>30</v>
      </c>
      <c r="B31" s="4" t="s">
        <v>25</v>
      </c>
      <c r="C31" s="5">
        <v>27.3</v>
      </c>
      <c r="D31" s="5">
        <v>56.79999999999999</v>
      </c>
      <c r="E31" s="5">
        <v>8.3000000000000007</v>
      </c>
      <c r="F31" s="5">
        <v>0.5</v>
      </c>
      <c r="G31" s="5">
        <v>0.6</v>
      </c>
      <c r="H31" s="5">
        <v>15.7</v>
      </c>
      <c r="I31" s="5">
        <v>16.5078</v>
      </c>
      <c r="J31" s="5">
        <v>1.9</v>
      </c>
      <c r="K31" s="5"/>
      <c r="L31" s="5"/>
      <c r="M31" s="5">
        <v>869</v>
      </c>
      <c r="N31" s="5">
        <v>180</v>
      </c>
      <c r="O31" s="5">
        <v>0</v>
      </c>
      <c r="P31" s="5">
        <v>0.23</v>
      </c>
      <c r="Q31" s="5" t="s">
        <v>23</v>
      </c>
      <c r="R31" s="5">
        <v>59.506680369989731</v>
      </c>
      <c r="S31">
        <v>23.350253807106597</v>
      </c>
      <c r="T31">
        <v>23.096446700507617</v>
      </c>
      <c r="U31">
        <v>32.487309644670056</v>
      </c>
      <c r="V31">
        <v>21.065989847715738</v>
      </c>
      <c r="W31" s="5">
        <v>6.9</v>
      </c>
      <c r="X31" s="5">
        <v>54</v>
      </c>
      <c r="Y31" s="5">
        <v>1.9304347826086956</v>
      </c>
      <c r="Z31" s="6"/>
      <c r="AA31" s="5">
        <v>49</v>
      </c>
      <c r="AB31" s="5">
        <v>50.410132355830861</v>
      </c>
    </row>
    <row r="32" spans="1:28" x14ac:dyDescent="0.2">
      <c r="A32" s="3">
        <v>31</v>
      </c>
      <c r="B32" s="4" t="s">
        <v>26</v>
      </c>
      <c r="C32" s="5">
        <v>13.959800867678959</v>
      </c>
      <c r="D32" s="5">
        <v>38.001361908893713</v>
      </c>
      <c r="E32" s="5">
        <v>4.9946642950108462</v>
      </c>
      <c r="F32" s="5">
        <v>1.0478316702819956</v>
      </c>
      <c r="G32" s="5">
        <v>0.5763074186550976</v>
      </c>
      <c r="H32" s="5">
        <v>42.699140563991321</v>
      </c>
      <c r="I32" s="5">
        <v>4.8806941431670285</v>
      </c>
      <c r="J32" s="5">
        <v>7.8</v>
      </c>
      <c r="K32" s="5">
        <v>86.052060737527128</v>
      </c>
      <c r="L32" s="5">
        <v>9.0672451193058574</v>
      </c>
      <c r="M32" s="5">
        <v>650</v>
      </c>
      <c r="N32" s="5">
        <v>60</v>
      </c>
      <c r="O32" s="5">
        <v>0</v>
      </c>
      <c r="P32" s="5">
        <v>0.25</v>
      </c>
      <c r="Q32" s="5" t="s">
        <v>23</v>
      </c>
      <c r="R32" s="5">
        <v>62</v>
      </c>
      <c r="S32">
        <v>19.078947368421051</v>
      </c>
      <c r="T32">
        <v>30.263157894736842</v>
      </c>
      <c r="U32">
        <v>44.736842105263158</v>
      </c>
      <c r="V32">
        <v>5.9210526315789469</v>
      </c>
      <c r="W32" s="6">
        <v>3.27</v>
      </c>
      <c r="X32" s="6"/>
      <c r="Y32" s="5">
        <v>1.3</v>
      </c>
      <c r="Z32" s="6"/>
      <c r="AA32" s="5">
        <v>28</v>
      </c>
      <c r="AB32" s="5">
        <v>50</v>
      </c>
    </row>
    <row r="33" spans="1:28" x14ac:dyDescent="0.2">
      <c r="A33" s="3">
        <v>32</v>
      </c>
      <c r="B33" s="4" t="s">
        <v>26</v>
      </c>
      <c r="C33" s="5">
        <v>13.959800867678959</v>
      </c>
      <c r="D33" s="5">
        <v>38.001361908893713</v>
      </c>
      <c r="E33" s="5">
        <v>4.9946642950108462</v>
      </c>
      <c r="F33" s="5">
        <v>1.0478316702819956</v>
      </c>
      <c r="G33" s="5">
        <v>0.5763074186550976</v>
      </c>
      <c r="H33" s="5">
        <v>42.699140563991321</v>
      </c>
      <c r="I33" s="5">
        <v>4.8806941431670285</v>
      </c>
      <c r="J33" s="5">
        <v>7.8</v>
      </c>
      <c r="K33" s="5">
        <v>86.052060737527128</v>
      </c>
      <c r="L33" s="5">
        <v>9.0672451193058574</v>
      </c>
      <c r="M33" s="5">
        <v>750</v>
      </c>
      <c r="N33" s="5">
        <v>60</v>
      </c>
      <c r="O33" s="5">
        <v>0</v>
      </c>
      <c r="P33" s="5">
        <v>0.25</v>
      </c>
      <c r="Q33" s="5" t="s">
        <v>23</v>
      </c>
      <c r="R33" s="5">
        <v>57.4</v>
      </c>
      <c r="S33">
        <v>15.258215962441312</v>
      </c>
      <c r="T33">
        <v>32.276995305164327</v>
      </c>
      <c r="U33">
        <v>44.014084507042249</v>
      </c>
      <c r="V33">
        <v>8.4507042253521139</v>
      </c>
      <c r="W33" s="6">
        <v>3.45</v>
      </c>
      <c r="X33" s="6"/>
      <c r="Y33" s="5">
        <v>1.5</v>
      </c>
      <c r="Z33" s="6"/>
      <c r="AA33" s="5">
        <v>37</v>
      </c>
      <c r="AB33" s="5">
        <v>64</v>
      </c>
    </row>
    <row r="34" spans="1:28" x14ac:dyDescent="0.2">
      <c r="A34" s="3">
        <v>33</v>
      </c>
      <c r="B34" s="4" t="s">
        <v>26</v>
      </c>
      <c r="C34" s="5">
        <v>13.959800867678959</v>
      </c>
      <c r="D34" s="5">
        <v>38.001361908893713</v>
      </c>
      <c r="E34" s="5">
        <v>4.9946642950108462</v>
      </c>
      <c r="F34" s="5">
        <v>1.0478316702819956</v>
      </c>
      <c r="G34" s="5">
        <v>0.5763074186550976</v>
      </c>
      <c r="H34" s="5">
        <v>42.699140563991321</v>
      </c>
      <c r="I34" s="5">
        <v>4.8806941431670285</v>
      </c>
      <c r="J34" s="5">
        <v>7.8</v>
      </c>
      <c r="K34" s="5">
        <v>86.052060737527128</v>
      </c>
      <c r="L34" s="5">
        <v>9.0672451193058574</v>
      </c>
      <c r="M34" s="5">
        <v>850</v>
      </c>
      <c r="N34" s="5">
        <v>60</v>
      </c>
      <c r="O34" s="5">
        <v>0</v>
      </c>
      <c r="P34" s="5">
        <v>0.25</v>
      </c>
      <c r="Q34" s="5" t="s">
        <v>23</v>
      </c>
      <c r="R34" s="5">
        <v>53</v>
      </c>
      <c r="S34">
        <v>15.425531914893615</v>
      </c>
      <c r="T34">
        <v>36.702127659574465</v>
      </c>
      <c r="U34">
        <v>40.425531914893611</v>
      </c>
      <c r="V34">
        <v>7.4468085106382986</v>
      </c>
      <c r="W34" s="6">
        <v>4.45</v>
      </c>
      <c r="X34" s="6"/>
      <c r="Y34" s="5">
        <v>1.75</v>
      </c>
      <c r="Z34" s="6"/>
      <c r="AA34" s="5">
        <v>50</v>
      </c>
      <c r="AB34" s="5">
        <v>75</v>
      </c>
    </row>
    <row r="35" spans="1:28" x14ac:dyDescent="0.2">
      <c r="A35" s="3">
        <v>34</v>
      </c>
      <c r="B35" s="4" t="s">
        <v>26</v>
      </c>
      <c r="C35" s="5">
        <v>13.959800867678959</v>
      </c>
      <c r="D35" s="5">
        <v>38.001361908893713</v>
      </c>
      <c r="E35" s="5">
        <v>4.9946642950108462</v>
      </c>
      <c r="F35" s="5">
        <v>1.0478316702819956</v>
      </c>
      <c r="G35" s="5">
        <v>0.5763074186550976</v>
      </c>
      <c r="H35" s="5">
        <v>42.699140563991321</v>
      </c>
      <c r="I35" s="5">
        <v>4.8806941431670285</v>
      </c>
      <c r="J35" s="5">
        <v>7.8</v>
      </c>
      <c r="K35" s="5">
        <v>86.052060737527128</v>
      </c>
      <c r="L35" s="5">
        <v>9.0672451193058574</v>
      </c>
      <c r="M35" s="5">
        <v>950</v>
      </c>
      <c r="N35" s="5">
        <v>60</v>
      </c>
      <c r="O35" s="5">
        <v>0</v>
      </c>
      <c r="P35" s="5">
        <v>0.25</v>
      </c>
      <c r="Q35" s="5" t="s">
        <v>23</v>
      </c>
      <c r="R35" s="5">
        <v>51.749999999999993</v>
      </c>
      <c r="S35">
        <v>19.689119170984455</v>
      </c>
      <c r="T35">
        <v>38.860103626943001</v>
      </c>
      <c r="U35">
        <v>35.233160621761655</v>
      </c>
      <c r="V35">
        <v>6.2176165803108807</v>
      </c>
      <c r="W35" s="6">
        <v>4.95</v>
      </c>
      <c r="X35" s="6"/>
      <c r="Y35" s="5">
        <v>1.9</v>
      </c>
      <c r="Z35" s="6"/>
      <c r="AA35" s="5">
        <v>63</v>
      </c>
      <c r="AB35" s="5">
        <v>82</v>
      </c>
    </row>
    <row r="36" spans="1:28" x14ac:dyDescent="0.2">
      <c r="A36" s="3">
        <v>35</v>
      </c>
      <c r="B36" s="4" t="s">
        <v>26</v>
      </c>
      <c r="C36" s="5">
        <v>13.959800867678959</v>
      </c>
      <c r="D36" s="5">
        <v>38.001361908893713</v>
      </c>
      <c r="E36" s="5">
        <v>4.9946642950108462</v>
      </c>
      <c r="F36" s="5">
        <v>1.0478316702819956</v>
      </c>
      <c r="G36" s="5">
        <v>0.5763074186550976</v>
      </c>
      <c r="H36" s="5">
        <v>42.699140563991321</v>
      </c>
      <c r="I36" s="5">
        <v>4.8806941431670285</v>
      </c>
      <c r="J36" s="5">
        <v>7.8</v>
      </c>
      <c r="K36" s="5">
        <v>86.052060737527128</v>
      </c>
      <c r="L36" s="5">
        <v>9.0672451193058574</v>
      </c>
      <c r="M36" s="5">
        <v>1050</v>
      </c>
      <c r="N36" s="5">
        <v>60</v>
      </c>
      <c r="O36" s="5">
        <v>0</v>
      </c>
      <c r="P36" s="5">
        <v>0.25</v>
      </c>
      <c r="Q36" s="5" t="s">
        <v>23</v>
      </c>
      <c r="R36" s="5">
        <v>50.749999999999993</v>
      </c>
      <c r="S36">
        <v>24.873096446700508</v>
      </c>
      <c r="T36">
        <v>40.609137055837564</v>
      </c>
      <c r="U36">
        <v>28.426395939086298</v>
      </c>
      <c r="V36">
        <v>6.091370558375635</v>
      </c>
      <c r="W36" s="6">
        <v>5.37</v>
      </c>
      <c r="X36" s="6"/>
      <c r="Y36" s="5">
        <v>2</v>
      </c>
      <c r="Z36" s="6"/>
      <c r="AA36" s="5">
        <v>71</v>
      </c>
      <c r="AB36" s="5">
        <v>89</v>
      </c>
    </row>
    <row r="37" spans="1:28" x14ac:dyDescent="0.2">
      <c r="A37" s="3">
        <v>36</v>
      </c>
      <c r="B37" s="4" t="s">
        <v>26</v>
      </c>
      <c r="C37" s="5">
        <v>13.959800867678959</v>
      </c>
      <c r="D37" s="5">
        <v>38.001361908893713</v>
      </c>
      <c r="E37" s="5">
        <v>4.9946642950108462</v>
      </c>
      <c r="F37" s="5">
        <v>1.0478316702819956</v>
      </c>
      <c r="G37" s="5">
        <v>0.5763074186550976</v>
      </c>
      <c r="H37" s="5">
        <v>42.699140563991321</v>
      </c>
      <c r="I37" s="5">
        <v>4.8806941431670285</v>
      </c>
      <c r="J37" s="5">
        <v>7.8</v>
      </c>
      <c r="K37" s="5">
        <v>86.052060737527128</v>
      </c>
      <c r="L37" s="5">
        <v>9.0672451193058574</v>
      </c>
      <c r="M37" s="5">
        <v>770</v>
      </c>
      <c r="N37" s="5">
        <v>60</v>
      </c>
      <c r="O37" s="5">
        <v>0</v>
      </c>
      <c r="P37" s="5">
        <v>0.17</v>
      </c>
      <c r="Q37" s="5" t="s">
        <v>23</v>
      </c>
      <c r="R37" s="5">
        <v>55.75</v>
      </c>
      <c r="S37">
        <v>16.949152542372879</v>
      </c>
      <c r="T37">
        <v>35.593220338983052</v>
      </c>
      <c r="U37">
        <v>40.677966101694921</v>
      </c>
      <c r="V37">
        <v>6.7796610169491522</v>
      </c>
      <c r="W37" s="6">
        <v>4.25</v>
      </c>
      <c r="X37" s="6"/>
      <c r="Y37" s="5">
        <v>1.2</v>
      </c>
      <c r="Z37" s="6"/>
      <c r="AA37" s="5">
        <v>29</v>
      </c>
      <c r="AB37" s="5">
        <v>47</v>
      </c>
    </row>
    <row r="38" spans="1:28" x14ac:dyDescent="0.2">
      <c r="A38" s="3">
        <v>37</v>
      </c>
      <c r="B38" s="4" t="s">
        <v>26</v>
      </c>
      <c r="C38" s="5">
        <v>13.959800867678959</v>
      </c>
      <c r="D38" s="5">
        <v>38.001361908893713</v>
      </c>
      <c r="E38" s="5">
        <v>4.9946642950108462</v>
      </c>
      <c r="F38" s="5">
        <v>1.0478316702819956</v>
      </c>
      <c r="G38" s="5">
        <v>0.5763074186550976</v>
      </c>
      <c r="H38" s="5">
        <v>42.699140563991321</v>
      </c>
      <c r="I38" s="5">
        <v>4.8806941431670285</v>
      </c>
      <c r="J38" s="5">
        <v>7.8</v>
      </c>
      <c r="K38" s="5">
        <v>86.052060737527128</v>
      </c>
      <c r="L38" s="5">
        <v>9.0672451193058574</v>
      </c>
      <c r="M38" s="5">
        <v>770</v>
      </c>
      <c r="N38" s="5">
        <v>60</v>
      </c>
      <c r="O38" s="5">
        <v>0</v>
      </c>
      <c r="P38" s="5">
        <v>0.21</v>
      </c>
      <c r="Q38" s="5" t="s">
        <v>23</v>
      </c>
      <c r="R38" s="5">
        <v>54.280000000000008</v>
      </c>
      <c r="S38">
        <v>12.139107611548557</v>
      </c>
      <c r="T38">
        <v>36.351706036745412</v>
      </c>
      <c r="U38">
        <v>42.082239720034991</v>
      </c>
      <c r="V38">
        <v>9.42694663167104</v>
      </c>
      <c r="W38" s="6">
        <v>4.53</v>
      </c>
      <c r="X38" s="6"/>
      <c r="Y38" s="5">
        <v>1.3</v>
      </c>
      <c r="Z38" s="6"/>
      <c r="AA38" s="5">
        <v>36</v>
      </c>
      <c r="AB38" s="5">
        <v>59</v>
      </c>
    </row>
    <row r="39" spans="1:28" x14ac:dyDescent="0.2">
      <c r="A39" s="3">
        <v>38</v>
      </c>
      <c r="B39" s="4" t="s">
        <v>26</v>
      </c>
      <c r="C39" s="5">
        <v>13.959800867678959</v>
      </c>
      <c r="D39" s="5">
        <v>38.001361908893713</v>
      </c>
      <c r="E39" s="5">
        <v>4.9946642950108462</v>
      </c>
      <c r="F39" s="5">
        <v>1.0478316702819956</v>
      </c>
      <c r="G39" s="5">
        <v>0.5763074186550976</v>
      </c>
      <c r="H39" s="5">
        <v>42.699140563991321</v>
      </c>
      <c r="I39" s="5">
        <v>4.8806941431670285</v>
      </c>
      <c r="J39" s="5">
        <v>7.8</v>
      </c>
      <c r="K39" s="5">
        <v>86.052060737527128</v>
      </c>
      <c r="L39" s="5">
        <v>9.0672451193058574</v>
      </c>
      <c r="M39" s="5">
        <v>770</v>
      </c>
      <c r="N39" s="5">
        <v>60</v>
      </c>
      <c r="O39" s="5">
        <v>0</v>
      </c>
      <c r="P39" s="5">
        <v>0.28000000000000003</v>
      </c>
      <c r="Q39" s="5" t="s">
        <v>23</v>
      </c>
      <c r="R39" s="5">
        <v>57.499999999999993</v>
      </c>
      <c r="S39">
        <v>11.76470588235294</v>
      </c>
      <c r="T39">
        <v>34.705882352941174</v>
      </c>
      <c r="U39">
        <v>46.470588235294116</v>
      </c>
      <c r="V39">
        <v>7.0588235294117645</v>
      </c>
      <c r="W39" s="6">
        <v>3.8</v>
      </c>
      <c r="X39" s="6"/>
      <c r="Y39" s="5">
        <v>1.65</v>
      </c>
      <c r="Z39" s="6"/>
      <c r="AA39" s="5">
        <v>38</v>
      </c>
      <c r="AB39" s="5">
        <v>67</v>
      </c>
    </row>
    <row r="40" spans="1:28" x14ac:dyDescent="0.2">
      <c r="A40" s="3">
        <v>39</v>
      </c>
      <c r="B40" s="4" t="s">
        <v>26</v>
      </c>
      <c r="C40" s="5">
        <v>13.959800867678959</v>
      </c>
      <c r="D40" s="5">
        <v>38.001361908893713</v>
      </c>
      <c r="E40" s="5">
        <v>4.9946642950108462</v>
      </c>
      <c r="F40" s="5">
        <v>1.0478316702819956</v>
      </c>
      <c r="G40" s="5">
        <v>0.5763074186550976</v>
      </c>
      <c r="H40" s="5">
        <v>42.699140563991321</v>
      </c>
      <c r="I40" s="5">
        <v>4.8806941431670285</v>
      </c>
      <c r="J40" s="5">
        <v>7.8</v>
      </c>
      <c r="K40" s="5">
        <v>86.052060737527128</v>
      </c>
      <c r="L40" s="5">
        <v>9.0672451193058574</v>
      </c>
      <c r="M40" s="5">
        <v>770</v>
      </c>
      <c r="N40" s="5">
        <v>60</v>
      </c>
      <c r="O40" s="5">
        <v>0</v>
      </c>
      <c r="P40" s="5">
        <v>0.32</v>
      </c>
      <c r="Q40" s="5" t="s">
        <v>23</v>
      </c>
      <c r="R40" s="5">
        <v>58.5</v>
      </c>
      <c r="S40">
        <v>9.6385542168674707</v>
      </c>
      <c r="T40">
        <v>33.132530120481931</v>
      </c>
      <c r="U40">
        <v>50.602409638554214</v>
      </c>
      <c r="V40">
        <v>6.6265060240963862</v>
      </c>
      <c r="W40" s="6">
        <v>3.35</v>
      </c>
      <c r="X40" s="6"/>
      <c r="Y40" s="5">
        <v>1.76</v>
      </c>
      <c r="Z40" s="6"/>
      <c r="AA40" s="5">
        <v>39</v>
      </c>
      <c r="AB40" s="5">
        <v>71</v>
      </c>
    </row>
    <row r="41" spans="1:28" x14ac:dyDescent="0.2">
      <c r="A41" s="3">
        <v>40</v>
      </c>
      <c r="B41" s="4" t="s">
        <v>27</v>
      </c>
      <c r="C41" s="5">
        <v>15.733292857142859</v>
      </c>
      <c r="D41" s="5">
        <v>38.185254519906323</v>
      </c>
      <c r="E41" s="5">
        <v>4.9515132084309137</v>
      </c>
      <c r="F41" s="5">
        <v>2.6328800936768149</v>
      </c>
      <c r="G41" s="5">
        <v>0.51808285714285707</v>
      </c>
      <c r="H41" s="5">
        <v>38.643885245901636</v>
      </c>
      <c r="I41" s="5">
        <v>0.46838407494145201</v>
      </c>
      <c r="J41" s="5">
        <v>14.6</v>
      </c>
      <c r="K41" s="5">
        <v>89.110070257611227</v>
      </c>
      <c r="L41" s="5">
        <v>10.421545667447306</v>
      </c>
      <c r="M41" s="5">
        <v>650</v>
      </c>
      <c r="N41" s="5">
        <v>60</v>
      </c>
      <c r="O41" s="5">
        <v>0</v>
      </c>
      <c r="P41" s="5">
        <v>0.25</v>
      </c>
      <c r="Q41" s="5" t="s">
        <v>23</v>
      </c>
      <c r="R41" s="5">
        <v>61</v>
      </c>
      <c r="S41">
        <v>15.384615384615385</v>
      </c>
      <c r="T41">
        <v>38.461538461538467</v>
      </c>
      <c r="U41">
        <v>38.461538461538467</v>
      </c>
      <c r="V41">
        <v>7.6923076923076925</v>
      </c>
      <c r="W41" s="6">
        <v>3.86</v>
      </c>
      <c r="X41" s="6"/>
      <c r="Y41" s="5">
        <v>1.2</v>
      </c>
      <c r="Z41" s="6"/>
      <c r="AA41" s="5">
        <v>30</v>
      </c>
      <c r="AB41" s="5">
        <v>52</v>
      </c>
    </row>
    <row r="42" spans="1:28" x14ac:dyDescent="0.2">
      <c r="A42" s="3">
        <v>41</v>
      </c>
      <c r="B42" s="4" t="s">
        <v>27</v>
      </c>
      <c r="C42" s="5">
        <v>15.733292857142859</v>
      </c>
      <c r="D42" s="5">
        <v>38.185254519906323</v>
      </c>
      <c r="E42" s="5">
        <v>4.9515132084309137</v>
      </c>
      <c r="F42" s="5">
        <v>2.6328800936768149</v>
      </c>
      <c r="G42" s="5">
        <v>0.51808285714285707</v>
      </c>
      <c r="H42" s="5">
        <v>38.643885245901636</v>
      </c>
      <c r="I42" s="5">
        <v>0.46838407494145201</v>
      </c>
      <c r="J42" s="5">
        <v>14.6</v>
      </c>
      <c r="K42" s="5">
        <v>89.110070257611227</v>
      </c>
      <c r="L42" s="5">
        <v>10.421545667447306</v>
      </c>
      <c r="M42" s="5">
        <v>750</v>
      </c>
      <c r="N42" s="5">
        <v>60</v>
      </c>
      <c r="O42" s="5">
        <v>0</v>
      </c>
      <c r="P42" s="5">
        <v>0.25</v>
      </c>
      <c r="Q42" s="5" t="s">
        <v>23</v>
      </c>
      <c r="R42" s="5">
        <v>59.75</v>
      </c>
      <c r="S42">
        <v>14.906832298136646</v>
      </c>
      <c r="T42">
        <v>36.024844720496887</v>
      </c>
      <c r="U42">
        <v>43.478260869565219</v>
      </c>
      <c r="V42">
        <v>5.5900621118012426</v>
      </c>
      <c r="W42" s="6">
        <v>3.5</v>
      </c>
      <c r="X42" s="6"/>
      <c r="Y42" s="5">
        <v>1.7</v>
      </c>
      <c r="Z42" s="6"/>
      <c r="AA42" s="5">
        <v>35</v>
      </c>
      <c r="AB42" s="5">
        <v>70</v>
      </c>
    </row>
    <row r="43" spans="1:28" x14ac:dyDescent="0.2">
      <c r="A43" s="3">
        <v>42</v>
      </c>
      <c r="B43" s="4" t="s">
        <v>27</v>
      </c>
      <c r="C43" s="5">
        <v>15.733292857142859</v>
      </c>
      <c r="D43" s="5">
        <v>38.185254519906323</v>
      </c>
      <c r="E43" s="5">
        <v>4.9515132084309137</v>
      </c>
      <c r="F43" s="5">
        <v>2.6328800936768149</v>
      </c>
      <c r="G43" s="5">
        <v>0.51808285714285707</v>
      </c>
      <c r="H43" s="5">
        <v>38.643885245901636</v>
      </c>
      <c r="I43" s="5">
        <v>0.46838407494145201</v>
      </c>
      <c r="J43" s="5">
        <v>14.6</v>
      </c>
      <c r="K43" s="5">
        <v>89.110070257611227</v>
      </c>
      <c r="L43" s="5">
        <v>10.421545667447306</v>
      </c>
      <c r="M43" s="5">
        <v>850</v>
      </c>
      <c r="N43" s="5">
        <v>60</v>
      </c>
      <c r="O43" s="5">
        <v>0</v>
      </c>
      <c r="P43" s="5">
        <v>0.25</v>
      </c>
      <c r="Q43" s="5" t="s">
        <v>23</v>
      </c>
      <c r="R43" s="5">
        <v>55.25</v>
      </c>
      <c r="S43">
        <v>17.877094972067038</v>
      </c>
      <c r="T43">
        <v>33.519553072625698</v>
      </c>
      <c r="U43">
        <v>42.458100558659218</v>
      </c>
      <c r="V43">
        <v>6.1452513966480442</v>
      </c>
      <c r="W43" s="6">
        <v>4</v>
      </c>
      <c r="X43" s="6"/>
      <c r="Y43" s="5">
        <v>1.75</v>
      </c>
      <c r="Z43" s="6"/>
      <c r="AA43" s="5">
        <v>43</v>
      </c>
      <c r="AB43" s="5">
        <v>79</v>
      </c>
    </row>
    <row r="44" spans="1:28" x14ac:dyDescent="0.2">
      <c r="A44" s="3">
        <v>43</v>
      </c>
      <c r="B44" s="4" t="s">
        <v>27</v>
      </c>
      <c r="C44" s="5">
        <v>15.733292857142859</v>
      </c>
      <c r="D44" s="5">
        <v>38.185254519906323</v>
      </c>
      <c r="E44" s="5">
        <v>4.9515132084309137</v>
      </c>
      <c r="F44" s="5">
        <v>2.6328800936768149</v>
      </c>
      <c r="G44" s="5">
        <v>0.51808285714285707</v>
      </c>
      <c r="H44" s="5">
        <v>38.643885245901636</v>
      </c>
      <c r="I44" s="5">
        <v>0.46838407494145201</v>
      </c>
      <c r="J44" s="5">
        <v>14.6</v>
      </c>
      <c r="K44" s="5">
        <v>89.110070257611227</v>
      </c>
      <c r="L44" s="5">
        <v>10.421545667447306</v>
      </c>
      <c r="M44" s="5">
        <v>950</v>
      </c>
      <c r="N44" s="5">
        <v>60</v>
      </c>
      <c r="O44" s="5">
        <v>0</v>
      </c>
      <c r="P44" s="5">
        <v>0.25</v>
      </c>
      <c r="Q44" s="5" t="s">
        <v>23</v>
      </c>
      <c r="R44" s="5">
        <v>50</v>
      </c>
      <c r="S44">
        <v>28.999999999999996</v>
      </c>
      <c r="T44">
        <v>32</v>
      </c>
      <c r="U44">
        <v>33.5</v>
      </c>
      <c r="V44">
        <v>5.5</v>
      </c>
      <c r="W44" s="6">
        <v>5.0999999999999996</v>
      </c>
      <c r="X44" s="6"/>
      <c r="Y44" s="5">
        <v>1.8</v>
      </c>
      <c r="Z44" s="6"/>
      <c r="AA44" s="5">
        <v>58</v>
      </c>
      <c r="AB44" s="5">
        <v>82</v>
      </c>
    </row>
    <row r="45" spans="1:28" x14ac:dyDescent="0.2">
      <c r="A45" s="3">
        <v>44</v>
      </c>
      <c r="B45" s="4" t="s">
        <v>27</v>
      </c>
      <c r="C45" s="5">
        <v>15.733292857142859</v>
      </c>
      <c r="D45" s="5">
        <v>38.185254519906323</v>
      </c>
      <c r="E45" s="5">
        <v>4.9515132084309137</v>
      </c>
      <c r="F45" s="5">
        <v>2.6328800936768149</v>
      </c>
      <c r="G45" s="5">
        <v>0.51808285714285707</v>
      </c>
      <c r="H45" s="5">
        <v>38.643885245901636</v>
      </c>
      <c r="I45" s="5">
        <v>0.46838407494145201</v>
      </c>
      <c r="J45" s="5">
        <v>14.6</v>
      </c>
      <c r="K45" s="5">
        <v>89.110070257611227</v>
      </c>
      <c r="L45" s="5">
        <v>10.421545667447306</v>
      </c>
      <c r="M45" s="5">
        <v>1050</v>
      </c>
      <c r="N45" s="5">
        <v>60</v>
      </c>
      <c r="O45" s="5">
        <v>0</v>
      </c>
      <c r="P45" s="5">
        <v>0.25</v>
      </c>
      <c r="Q45" s="5" t="s">
        <v>23</v>
      </c>
      <c r="R45" s="5">
        <v>46.7</v>
      </c>
      <c r="S45">
        <v>36.585365853658537</v>
      </c>
      <c r="T45">
        <v>33.39587242026267</v>
      </c>
      <c r="U45">
        <v>24.859287054409009</v>
      </c>
      <c r="V45">
        <v>5.1594746716697939</v>
      </c>
      <c r="W45" s="6">
        <v>5.87</v>
      </c>
      <c r="X45" s="6"/>
      <c r="Y45" s="5">
        <v>2</v>
      </c>
      <c r="Z45" s="6"/>
      <c r="AA45" s="5">
        <v>72</v>
      </c>
      <c r="AB45" s="5">
        <v>84</v>
      </c>
    </row>
    <row r="46" spans="1:28" x14ac:dyDescent="0.2">
      <c r="A46" s="3">
        <v>45</v>
      </c>
      <c r="B46" s="4" t="s">
        <v>28</v>
      </c>
      <c r="C46" s="5">
        <v>18.978196850678732</v>
      </c>
      <c r="D46" s="5">
        <v>46.474439416792357</v>
      </c>
      <c r="E46" s="5">
        <v>6.5104675716440426</v>
      </c>
      <c r="F46" s="5">
        <v>0.13793363499245853</v>
      </c>
      <c r="G46" s="5">
        <v>0.52414781297134239</v>
      </c>
      <c r="H46" s="5">
        <v>37.803011563599796</v>
      </c>
      <c r="I46" s="5">
        <v>0.55000000000000004</v>
      </c>
      <c r="J46" s="5">
        <v>8</v>
      </c>
      <c r="K46" s="5">
        <v>82.29</v>
      </c>
      <c r="L46" s="5">
        <v>17.16</v>
      </c>
      <c r="M46" s="5">
        <v>700</v>
      </c>
      <c r="N46" s="5">
        <v>15</v>
      </c>
      <c r="O46" s="5">
        <v>2.7</v>
      </c>
      <c r="P46" s="5">
        <v>0.22</v>
      </c>
      <c r="Q46" s="5" t="s">
        <v>29</v>
      </c>
      <c r="R46" s="5">
        <v>1.5706806282722512</v>
      </c>
      <c r="S46">
        <v>23.404255319148934</v>
      </c>
      <c r="T46">
        <v>45.212765957446805</v>
      </c>
      <c r="U46">
        <v>22.340425531914892</v>
      </c>
      <c r="V46">
        <v>9.0425531914893611</v>
      </c>
      <c r="W46" s="6">
        <v>7.9450000000000003</v>
      </c>
      <c r="X46" s="6"/>
      <c r="Y46" s="5">
        <v>1.43</v>
      </c>
      <c r="Z46" s="6"/>
      <c r="AA46" s="5">
        <v>59.865276397919096</v>
      </c>
      <c r="AB46" s="5">
        <v>78.17</v>
      </c>
    </row>
    <row r="47" spans="1:28" x14ac:dyDescent="0.2">
      <c r="A47" s="3">
        <v>46</v>
      </c>
      <c r="B47" s="4" t="s">
        <v>28</v>
      </c>
      <c r="C47" s="5">
        <v>18.978196850678732</v>
      </c>
      <c r="D47" s="5">
        <v>46.474439416792357</v>
      </c>
      <c r="E47" s="5">
        <v>6.5104675716440426</v>
      </c>
      <c r="F47" s="5">
        <v>0.13793363499245853</v>
      </c>
      <c r="G47" s="5">
        <v>0.52414781297134239</v>
      </c>
      <c r="H47" s="5">
        <v>37.803011563599796</v>
      </c>
      <c r="I47" s="5">
        <v>0.55000000000000004</v>
      </c>
      <c r="J47" s="5">
        <v>8</v>
      </c>
      <c r="K47" s="5">
        <v>82.29</v>
      </c>
      <c r="L47" s="5">
        <v>17.16</v>
      </c>
      <c r="M47" s="5">
        <v>750</v>
      </c>
      <c r="N47" s="5">
        <v>15</v>
      </c>
      <c r="O47" s="5">
        <v>2.7</v>
      </c>
      <c r="P47" s="5">
        <v>0.22</v>
      </c>
      <c r="Q47" s="5" t="s">
        <v>29</v>
      </c>
      <c r="R47" s="5">
        <v>2.5906735751295336</v>
      </c>
      <c r="S47">
        <v>29.787234042553191</v>
      </c>
      <c r="T47">
        <v>41.489361702127667</v>
      </c>
      <c r="U47">
        <v>20.212765957446809</v>
      </c>
      <c r="V47">
        <v>8.5106382978723421</v>
      </c>
      <c r="W47" s="6">
        <v>7.6509999999999998</v>
      </c>
      <c r="X47" s="6"/>
      <c r="Y47" s="5">
        <v>1.51</v>
      </c>
      <c r="Z47" s="6"/>
      <c r="AA47" s="5">
        <v>60.875172129889783</v>
      </c>
      <c r="AB47" s="5">
        <v>80.66</v>
      </c>
    </row>
    <row r="48" spans="1:28" x14ac:dyDescent="0.2">
      <c r="A48" s="3">
        <v>47</v>
      </c>
      <c r="B48" s="4" t="s">
        <v>28</v>
      </c>
      <c r="C48" s="5">
        <v>18.978196850678732</v>
      </c>
      <c r="D48" s="5">
        <v>46.474439416792357</v>
      </c>
      <c r="E48" s="5">
        <v>6.5104675716440426</v>
      </c>
      <c r="F48" s="5">
        <v>0.13793363499245853</v>
      </c>
      <c r="G48" s="5">
        <v>0.52414781297134239</v>
      </c>
      <c r="H48" s="5">
        <v>37.803011563599796</v>
      </c>
      <c r="I48" s="5">
        <v>0.55000000000000004</v>
      </c>
      <c r="J48" s="5">
        <v>8</v>
      </c>
      <c r="K48" s="5">
        <v>82.29</v>
      </c>
      <c r="L48" s="5">
        <v>17.16</v>
      </c>
      <c r="M48" s="5">
        <v>800</v>
      </c>
      <c r="N48" s="5">
        <v>15</v>
      </c>
      <c r="O48" s="5">
        <v>2.7</v>
      </c>
      <c r="P48" s="5">
        <v>0.22</v>
      </c>
      <c r="Q48" s="5" t="s">
        <v>29</v>
      </c>
      <c r="R48" s="5">
        <v>1.5544041450777202</v>
      </c>
      <c r="S48">
        <v>33.684210526315795</v>
      </c>
      <c r="T48">
        <v>39.473684210526315</v>
      </c>
      <c r="U48">
        <v>18.947368421052634</v>
      </c>
      <c r="V48">
        <v>7.8947368421052637</v>
      </c>
      <c r="W48" s="6">
        <v>8.56</v>
      </c>
      <c r="X48" s="6"/>
      <c r="Y48" s="5">
        <v>2.23</v>
      </c>
      <c r="Z48" s="6"/>
      <c r="AA48" s="5">
        <v>100.58279061067552</v>
      </c>
      <c r="AB48" s="5">
        <v>85.9</v>
      </c>
    </row>
    <row r="49" spans="1:28" x14ac:dyDescent="0.2">
      <c r="A49" s="3">
        <v>48</v>
      </c>
      <c r="B49" s="4" t="s">
        <v>28</v>
      </c>
      <c r="C49" s="5">
        <v>18.978196850678732</v>
      </c>
      <c r="D49" s="5">
        <v>46.474439416792357</v>
      </c>
      <c r="E49" s="5">
        <v>6.5104675716440426</v>
      </c>
      <c r="F49" s="5">
        <v>0.13793363499245853</v>
      </c>
      <c r="G49" s="5">
        <v>0.52414781297134239</v>
      </c>
      <c r="H49" s="5">
        <v>37.803011563599796</v>
      </c>
      <c r="I49" s="5">
        <v>0.55000000000000004</v>
      </c>
      <c r="J49" s="5">
        <v>8</v>
      </c>
      <c r="K49" s="5">
        <v>82.29</v>
      </c>
      <c r="L49" s="5">
        <v>17.16</v>
      </c>
      <c r="M49" s="5">
        <v>850</v>
      </c>
      <c r="N49" s="5">
        <v>15</v>
      </c>
      <c r="O49" s="5">
        <v>2.7</v>
      </c>
      <c r="P49" s="5">
        <v>0.22</v>
      </c>
      <c r="Q49" s="5" t="s">
        <v>29</v>
      </c>
      <c r="R49" s="5">
        <v>1.0256410256410255</v>
      </c>
      <c r="S49">
        <v>37.823834196891191</v>
      </c>
      <c r="T49">
        <v>35.233160621761655</v>
      </c>
      <c r="U49">
        <v>19.170984455958546</v>
      </c>
      <c r="V49">
        <v>7.7720207253886011</v>
      </c>
      <c r="W49" s="6">
        <v>8.2230000000000008</v>
      </c>
      <c r="X49" s="6"/>
      <c r="Y49" s="5">
        <v>2.4500000000000002</v>
      </c>
      <c r="Z49" s="6"/>
      <c r="AA49" s="5">
        <v>106.15523781585969</v>
      </c>
      <c r="AB49" s="5">
        <v>92.35</v>
      </c>
    </row>
    <row r="50" spans="1:28" x14ac:dyDescent="0.2">
      <c r="A50" s="3">
        <v>49</v>
      </c>
      <c r="B50" s="4" t="s">
        <v>28</v>
      </c>
      <c r="C50" s="5">
        <v>18.978196850678732</v>
      </c>
      <c r="D50" s="5">
        <v>46.474439416792357</v>
      </c>
      <c r="E50" s="5">
        <v>6.5104675716440426</v>
      </c>
      <c r="F50" s="5">
        <v>0.13793363499245853</v>
      </c>
      <c r="G50" s="5">
        <v>0.52414781297134239</v>
      </c>
      <c r="H50" s="5">
        <v>37.803011563599796</v>
      </c>
      <c r="I50" s="5">
        <v>0.55000000000000004</v>
      </c>
      <c r="J50" s="5">
        <v>8</v>
      </c>
      <c r="K50" s="5">
        <v>82.29</v>
      </c>
      <c r="L50" s="5">
        <v>17.16</v>
      </c>
      <c r="M50" s="5">
        <v>900</v>
      </c>
      <c r="N50" s="5">
        <v>15</v>
      </c>
      <c r="O50" s="5">
        <v>2.7</v>
      </c>
      <c r="P50" s="5">
        <v>0.22</v>
      </c>
      <c r="Q50" s="5" t="s">
        <v>29</v>
      </c>
      <c r="R50" s="5">
        <v>1.0101010101010102</v>
      </c>
      <c r="S50">
        <v>39.795918367346928</v>
      </c>
      <c r="T50">
        <v>34.183673469387756</v>
      </c>
      <c r="U50">
        <v>19.387755102040813</v>
      </c>
      <c r="V50">
        <v>6.6326530612244898</v>
      </c>
      <c r="W50" s="6">
        <v>7.3620000000000001</v>
      </c>
      <c r="X50" s="6"/>
      <c r="Y50" s="5">
        <v>2.5299999999999998</v>
      </c>
      <c r="Z50" s="6"/>
      <c r="AA50" s="5">
        <v>98.14346508548239</v>
      </c>
      <c r="AB50" s="5">
        <v>92.59</v>
      </c>
    </row>
    <row r="51" spans="1:28" x14ac:dyDescent="0.2">
      <c r="A51" s="3">
        <v>50</v>
      </c>
      <c r="B51" s="4" t="s">
        <v>28</v>
      </c>
      <c r="C51" s="5">
        <v>18.978196850678732</v>
      </c>
      <c r="D51" s="5">
        <v>46.474439416792357</v>
      </c>
      <c r="E51" s="5">
        <v>6.5104675716440426</v>
      </c>
      <c r="F51" s="5">
        <v>0.13793363499245853</v>
      </c>
      <c r="G51" s="5">
        <v>0.52414781297134239</v>
      </c>
      <c r="H51" s="5">
        <v>37.803011563599796</v>
      </c>
      <c r="I51" s="5">
        <v>0.55000000000000004</v>
      </c>
      <c r="J51" s="5">
        <v>8</v>
      </c>
      <c r="K51" s="5">
        <v>82.29</v>
      </c>
      <c r="L51" s="5">
        <v>17.16</v>
      </c>
      <c r="M51" s="5">
        <v>800</v>
      </c>
      <c r="N51" s="5">
        <v>15</v>
      </c>
      <c r="O51" s="5">
        <v>1.56</v>
      </c>
      <c r="P51" s="5">
        <v>0.19</v>
      </c>
      <c r="Q51" s="5" t="s">
        <v>29</v>
      </c>
      <c r="R51" s="5">
        <v>1.5463917525773196</v>
      </c>
      <c r="S51">
        <v>34.031413612565444</v>
      </c>
      <c r="T51">
        <v>39.267015706806291</v>
      </c>
      <c r="U51">
        <v>18.586387434554975</v>
      </c>
      <c r="V51">
        <v>8.1151832460732969</v>
      </c>
      <c r="W51" s="6">
        <v>8.8170000000000002</v>
      </c>
      <c r="X51" s="6"/>
      <c r="Y51" s="5">
        <v>2.13</v>
      </c>
      <c r="Z51" s="6"/>
      <c r="AA51" s="5">
        <v>98.956766798044612</v>
      </c>
      <c r="AB51" s="5">
        <v>76.260000000000005</v>
      </c>
    </row>
    <row r="52" spans="1:28" x14ac:dyDescent="0.2">
      <c r="A52" s="3">
        <v>51</v>
      </c>
      <c r="B52" s="4" t="s">
        <v>28</v>
      </c>
      <c r="C52" s="5">
        <v>18.978196850678732</v>
      </c>
      <c r="D52" s="5">
        <v>46.474439416792357</v>
      </c>
      <c r="E52" s="5">
        <v>6.5104675716440426</v>
      </c>
      <c r="F52" s="5">
        <v>0.13793363499245853</v>
      </c>
      <c r="G52" s="5">
        <v>0.52414781297134239</v>
      </c>
      <c r="H52" s="5">
        <v>37.803011563599796</v>
      </c>
      <c r="I52" s="5">
        <v>0.55000000000000004</v>
      </c>
      <c r="J52" s="5">
        <v>8</v>
      </c>
      <c r="K52" s="5">
        <v>82.29</v>
      </c>
      <c r="L52" s="5">
        <v>17.16</v>
      </c>
      <c r="M52" s="5">
        <v>800</v>
      </c>
      <c r="N52" s="5">
        <v>15</v>
      </c>
      <c r="O52" s="5">
        <v>1.56</v>
      </c>
      <c r="P52" s="5">
        <v>0.21</v>
      </c>
      <c r="Q52" s="5" t="s">
        <v>29</v>
      </c>
      <c r="R52" s="5">
        <v>0.77319587628865982</v>
      </c>
      <c r="S52">
        <v>33.246753246753244</v>
      </c>
      <c r="T52">
        <v>40.519480519480524</v>
      </c>
      <c r="U52">
        <v>18.181818181818183</v>
      </c>
      <c r="V52">
        <v>8.0519480519480524</v>
      </c>
      <c r="W52" s="6">
        <v>8.8390000000000004</v>
      </c>
      <c r="X52" s="6"/>
      <c r="Y52" s="5">
        <v>2.25</v>
      </c>
      <c r="Z52" s="6"/>
      <c r="AA52" s="5">
        <v>104.79262153553192</v>
      </c>
      <c r="AB52" s="5">
        <v>84.49</v>
      </c>
    </row>
    <row r="53" spans="1:28" x14ac:dyDescent="0.2">
      <c r="A53" s="3">
        <v>52</v>
      </c>
      <c r="B53" s="4" t="s">
        <v>28</v>
      </c>
      <c r="C53" s="5">
        <v>18.978196850678732</v>
      </c>
      <c r="D53" s="5">
        <v>46.474439416792357</v>
      </c>
      <c r="E53" s="5">
        <v>6.5104675716440426</v>
      </c>
      <c r="F53" s="5">
        <v>0.13793363499245853</v>
      </c>
      <c r="G53" s="5">
        <v>0.52414781297134239</v>
      </c>
      <c r="H53" s="5">
        <v>37.803011563599796</v>
      </c>
      <c r="I53" s="5">
        <v>0.55000000000000004</v>
      </c>
      <c r="J53" s="5">
        <v>8</v>
      </c>
      <c r="K53" s="5">
        <v>82.29</v>
      </c>
      <c r="L53" s="5">
        <v>17.16</v>
      </c>
      <c r="M53" s="5">
        <v>800</v>
      </c>
      <c r="N53" s="5">
        <v>15</v>
      </c>
      <c r="O53" s="5">
        <v>1.56</v>
      </c>
      <c r="P53" s="5">
        <v>0.23</v>
      </c>
      <c r="Q53" s="5" t="s">
        <v>29</v>
      </c>
      <c r="R53" s="5">
        <v>0</v>
      </c>
      <c r="S53">
        <v>32.989690721649481</v>
      </c>
      <c r="T53">
        <v>41.237113402061858</v>
      </c>
      <c r="U53">
        <v>18.041237113402065</v>
      </c>
      <c r="V53">
        <v>7.7319587628865998</v>
      </c>
      <c r="W53" s="6">
        <v>8.7080000000000002</v>
      </c>
      <c r="X53" s="6"/>
      <c r="Y53" s="5">
        <v>2.37</v>
      </c>
      <c r="Z53" s="6"/>
      <c r="AA53" s="5">
        <v>108.74563143369392</v>
      </c>
      <c r="AB53" s="5">
        <v>90.6</v>
      </c>
    </row>
    <row r="54" spans="1:28" x14ac:dyDescent="0.2">
      <c r="A54" s="3">
        <v>53</v>
      </c>
      <c r="B54" s="4" t="s">
        <v>28</v>
      </c>
      <c r="C54" s="5">
        <v>18.978196850678732</v>
      </c>
      <c r="D54" s="5">
        <v>46.474439416792357</v>
      </c>
      <c r="E54" s="5">
        <v>6.5104675716440426</v>
      </c>
      <c r="F54" s="5">
        <v>0.13793363499245853</v>
      </c>
      <c r="G54" s="5">
        <v>0.52414781297134239</v>
      </c>
      <c r="H54" s="5">
        <v>37.803011563599796</v>
      </c>
      <c r="I54" s="5">
        <v>0.55000000000000004</v>
      </c>
      <c r="J54" s="5">
        <v>8</v>
      </c>
      <c r="K54" s="5">
        <v>82.29</v>
      </c>
      <c r="L54" s="5">
        <v>17.16</v>
      </c>
      <c r="M54" s="5">
        <v>800</v>
      </c>
      <c r="N54" s="5">
        <v>15</v>
      </c>
      <c r="O54" s="5">
        <v>1.56</v>
      </c>
      <c r="P54" s="5">
        <v>0.25</v>
      </c>
      <c r="Q54" s="5" t="s">
        <v>29</v>
      </c>
      <c r="R54" s="5">
        <v>0.51413881748071977</v>
      </c>
      <c r="S54">
        <v>33.0749354005168</v>
      </c>
      <c r="T54">
        <v>40.310077519379853</v>
      </c>
      <c r="U54">
        <v>18.863049095607234</v>
      </c>
      <c r="V54">
        <v>7.7519379844961236</v>
      </c>
      <c r="W54" s="6">
        <v>8.1639999999999997</v>
      </c>
      <c r="X54" s="6"/>
      <c r="Y54" s="5">
        <v>2.1800000000000002</v>
      </c>
      <c r="Z54" s="6"/>
      <c r="AA54" s="5">
        <v>93.778772240754236</v>
      </c>
      <c r="AB54" s="5">
        <v>84</v>
      </c>
    </row>
    <row r="55" spans="1:28" x14ac:dyDescent="0.2">
      <c r="A55" s="3">
        <v>54</v>
      </c>
      <c r="B55" s="4" t="s">
        <v>28</v>
      </c>
      <c r="C55" s="5">
        <v>18.978196850678732</v>
      </c>
      <c r="D55" s="5">
        <v>46.474439416792357</v>
      </c>
      <c r="E55" s="5">
        <v>6.5104675716440426</v>
      </c>
      <c r="F55" s="5">
        <v>0.13793363499245853</v>
      </c>
      <c r="G55" s="5">
        <v>0.52414781297134239</v>
      </c>
      <c r="H55" s="5">
        <v>37.803011563599796</v>
      </c>
      <c r="I55" s="5">
        <v>0.55000000000000004</v>
      </c>
      <c r="J55" s="5">
        <v>8</v>
      </c>
      <c r="K55" s="5">
        <v>82.29</v>
      </c>
      <c r="L55" s="5">
        <v>17.16</v>
      </c>
      <c r="M55" s="5">
        <v>800</v>
      </c>
      <c r="N55" s="5">
        <v>15</v>
      </c>
      <c r="O55" s="5">
        <v>1.56</v>
      </c>
      <c r="P55" s="5">
        <v>0.27</v>
      </c>
      <c r="Q55" s="5" t="s">
        <v>29</v>
      </c>
      <c r="R55" s="5">
        <v>0.51282051282051277</v>
      </c>
      <c r="S55">
        <v>33.505154639175252</v>
      </c>
      <c r="T55">
        <v>38.659793814433002</v>
      </c>
      <c r="U55">
        <v>20.360824742268044</v>
      </c>
      <c r="V55">
        <v>7.4742268041237123</v>
      </c>
      <c r="W55" s="6">
        <v>7.2770000000000001</v>
      </c>
      <c r="X55" s="6"/>
      <c r="Y55" s="5">
        <v>1.88</v>
      </c>
      <c r="Z55" s="6"/>
      <c r="AA55" s="5">
        <v>72.0867219770182</v>
      </c>
      <c r="AB55" s="5">
        <v>70.599999999999994</v>
      </c>
    </row>
    <row r="56" spans="1:28" x14ac:dyDescent="0.2">
      <c r="A56" s="3">
        <v>55</v>
      </c>
      <c r="B56" s="4" t="s">
        <v>28</v>
      </c>
      <c r="C56" s="5">
        <v>18.978196850678732</v>
      </c>
      <c r="D56" s="5">
        <v>46.474439416792357</v>
      </c>
      <c r="E56" s="5">
        <v>6.5104675716440426</v>
      </c>
      <c r="F56" s="5">
        <v>0.13793363499245853</v>
      </c>
      <c r="G56" s="5">
        <v>0.52414781297134239</v>
      </c>
      <c r="H56" s="5">
        <v>37.803011563599796</v>
      </c>
      <c r="I56" s="5">
        <v>0.55000000000000004</v>
      </c>
      <c r="J56" s="5">
        <v>8</v>
      </c>
      <c r="K56" s="5">
        <v>82.29</v>
      </c>
      <c r="L56" s="5">
        <v>17.16</v>
      </c>
      <c r="M56" s="5">
        <v>800</v>
      </c>
      <c r="N56" s="5">
        <v>15</v>
      </c>
      <c r="O56" s="5">
        <v>0</v>
      </c>
      <c r="P56" s="5">
        <v>0.22</v>
      </c>
      <c r="Q56" s="5" t="s">
        <v>29</v>
      </c>
      <c r="R56" s="5">
        <v>0</v>
      </c>
      <c r="S56">
        <v>33.673469387755098</v>
      </c>
      <c r="T56">
        <v>43.87755102040817</v>
      </c>
      <c r="U56">
        <v>16.326530612244898</v>
      </c>
      <c r="V56">
        <v>6.1224489795918373</v>
      </c>
      <c r="W56" s="6">
        <v>6.7409999999999997</v>
      </c>
      <c r="X56" s="6"/>
      <c r="Y56" s="5">
        <v>1.46</v>
      </c>
      <c r="Z56" s="6"/>
      <c r="AA56" s="5">
        <v>51.858772872028766</v>
      </c>
      <c r="AB56" s="5">
        <v>68.67</v>
      </c>
    </row>
    <row r="57" spans="1:28" x14ac:dyDescent="0.2">
      <c r="A57" s="3">
        <v>56</v>
      </c>
      <c r="B57" s="4" t="s">
        <v>28</v>
      </c>
      <c r="C57" s="5">
        <v>18.978196850678732</v>
      </c>
      <c r="D57" s="5">
        <v>46.474439416792357</v>
      </c>
      <c r="E57" s="5">
        <v>6.5104675716440426</v>
      </c>
      <c r="F57" s="5">
        <v>0.13793363499245853</v>
      </c>
      <c r="G57" s="5">
        <v>0.52414781297134239</v>
      </c>
      <c r="H57" s="5">
        <v>37.803011563599796</v>
      </c>
      <c r="I57" s="5">
        <v>0.55000000000000004</v>
      </c>
      <c r="J57" s="5">
        <v>8</v>
      </c>
      <c r="K57" s="5">
        <v>82.29</v>
      </c>
      <c r="L57" s="5">
        <v>17.16</v>
      </c>
      <c r="M57" s="5">
        <v>800</v>
      </c>
      <c r="N57" s="5">
        <v>15</v>
      </c>
      <c r="O57" s="5">
        <v>1.35</v>
      </c>
      <c r="P57" s="5">
        <v>0.22</v>
      </c>
      <c r="Q57" s="5" t="s">
        <v>29</v>
      </c>
      <c r="R57" s="5">
        <v>1.2919896640826873</v>
      </c>
      <c r="S57">
        <v>31.413612565445025</v>
      </c>
      <c r="T57">
        <v>42.40837696335079</v>
      </c>
      <c r="U57">
        <v>17.801047120418847</v>
      </c>
      <c r="V57">
        <v>8.376963350785342</v>
      </c>
      <c r="W57" s="6">
        <v>9.1430000000000007</v>
      </c>
      <c r="X57" s="6"/>
      <c r="Y57" s="5">
        <v>2.39</v>
      </c>
      <c r="Z57" s="6"/>
      <c r="AA57" s="5">
        <v>115.14144453201042</v>
      </c>
      <c r="AB57" s="5">
        <v>92.09</v>
      </c>
    </row>
    <row r="58" spans="1:28" x14ac:dyDescent="0.2">
      <c r="A58" s="3">
        <v>57</v>
      </c>
      <c r="B58" s="4" t="s">
        <v>28</v>
      </c>
      <c r="C58" s="5">
        <v>18.978196850678732</v>
      </c>
      <c r="D58" s="5">
        <v>46.474439416792357</v>
      </c>
      <c r="E58" s="5">
        <v>6.5104675716440426</v>
      </c>
      <c r="F58" s="5">
        <v>0.13793363499245853</v>
      </c>
      <c r="G58" s="5">
        <v>0.52414781297134239</v>
      </c>
      <c r="H58" s="5">
        <v>37.803011563599796</v>
      </c>
      <c r="I58" s="5">
        <v>0.55000000000000004</v>
      </c>
      <c r="J58" s="5">
        <v>8</v>
      </c>
      <c r="K58" s="5">
        <v>82.29</v>
      </c>
      <c r="L58" s="5">
        <v>17.16</v>
      </c>
      <c r="M58" s="5">
        <v>800</v>
      </c>
      <c r="N58" s="5">
        <v>15</v>
      </c>
      <c r="O58" s="5">
        <v>2.02</v>
      </c>
      <c r="P58" s="5">
        <v>0.22</v>
      </c>
      <c r="Q58" s="5" t="s">
        <v>29</v>
      </c>
      <c r="R58" s="5">
        <v>1.804123711340206</v>
      </c>
      <c r="S58">
        <v>32.54593175853018</v>
      </c>
      <c r="T58">
        <v>40.944881889763778</v>
      </c>
      <c r="U58">
        <v>18.372703412073491</v>
      </c>
      <c r="V58">
        <v>8.1364829396325451</v>
      </c>
      <c r="W58" s="6">
        <v>8.9049999999999994</v>
      </c>
      <c r="X58" s="6"/>
      <c r="Y58" s="5">
        <v>2.34</v>
      </c>
      <c r="Z58" s="6"/>
      <c r="AA58" s="5">
        <v>109.79810233791925</v>
      </c>
      <c r="AB58" s="5">
        <v>88.7</v>
      </c>
    </row>
    <row r="59" spans="1:28" x14ac:dyDescent="0.2">
      <c r="A59" s="3">
        <v>58</v>
      </c>
      <c r="B59" s="4" t="s">
        <v>28</v>
      </c>
      <c r="C59" s="5">
        <v>18.978196850678732</v>
      </c>
      <c r="D59" s="5">
        <v>46.474439416792357</v>
      </c>
      <c r="E59" s="5">
        <v>6.5104675716440426</v>
      </c>
      <c r="F59" s="5">
        <v>0.13793363499245853</v>
      </c>
      <c r="G59" s="5">
        <v>0.52414781297134239</v>
      </c>
      <c r="H59" s="5">
        <v>37.803011563599796</v>
      </c>
      <c r="I59" s="5">
        <v>0.55000000000000004</v>
      </c>
      <c r="J59" s="5">
        <v>8</v>
      </c>
      <c r="K59" s="5">
        <v>82.29</v>
      </c>
      <c r="L59" s="5">
        <v>17.16</v>
      </c>
      <c r="M59" s="5">
        <v>800</v>
      </c>
      <c r="N59" s="5">
        <v>15</v>
      </c>
      <c r="O59" s="5">
        <v>2.7</v>
      </c>
      <c r="P59" s="5">
        <v>0.22</v>
      </c>
      <c r="Q59" s="5" t="s">
        <v>29</v>
      </c>
      <c r="R59" s="5">
        <v>1.0309278350515463</v>
      </c>
      <c r="S59">
        <v>33.854166666666664</v>
      </c>
      <c r="T59">
        <v>39.062500000000014</v>
      </c>
      <c r="U59">
        <v>19.270833333333336</v>
      </c>
      <c r="V59">
        <v>7.8125000000000018</v>
      </c>
      <c r="W59" s="6">
        <v>8.56</v>
      </c>
      <c r="X59" s="6"/>
      <c r="Y59" s="5">
        <v>2.23</v>
      </c>
      <c r="Z59" s="6"/>
      <c r="AA59" s="5">
        <v>100.58279061067552</v>
      </c>
      <c r="AB59" s="5">
        <v>85.9</v>
      </c>
    </row>
    <row r="60" spans="1:28" x14ac:dyDescent="0.2">
      <c r="A60" s="3">
        <v>59</v>
      </c>
      <c r="B60" s="4" t="s">
        <v>28</v>
      </c>
      <c r="C60" s="5">
        <v>18.978196850678732</v>
      </c>
      <c r="D60" s="5">
        <v>46.474439416792357</v>
      </c>
      <c r="E60" s="5">
        <v>6.5104675716440426</v>
      </c>
      <c r="F60" s="5">
        <v>0.13793363499245853</v>
      </c>
      <c r="G60" s="5">
        <v>0.52414781297134239</v>
      </c>
      <c r="H60" s="5">
        <v>37.803011563599796</v>
      </c>
      <c r="I60" s="5">
        <v>0.55000000000000004</v>
      </c>
      <c r="J60" s="5">
        <v>8</v>
      </c>
      <c r="K60" s="5">
        <v>82.29</v>
      </c>
      <c r="L60" s="5">
        <v>17.16</v>
      </c>
      <c r="M60" s="5">
        <v>800</v>
      </c>
      <c r="N60" s="5">
        <v>15</v>
      </c>
      <c r="O60" s="5">
        <v>4.04</v>
      </c>
      <c r="P60" s="5">
        <v>0.22</v>
      </c>
      <c r="Q60" s="5" t="s">
        <v>29</v>
      </c>
      <c r="R60" s="5">
        <v>0.51546391752577314</v>
      </c>
      <c r="S60">
        <v>33.678756476683937</v>
      </c>
      <c r="T60">
        <v>38.860103626943008</v>
      </c>
      <c r="U60">
        <v>19.689119170984458</v>
      </c>
      <c r="V60">
        <v>7.7720207253886011</v>
      </c>
      <c r="W60" s="6">
        <v>8.1</v>
      </c>
      <c r="X60" s="6"/>
      <c r="Y60" s="5">
        <v>1.95</v>
      </c>
      <c r="Z60" s="6"/>
      <c r="AA60" s="5">
        <v>83.227084871527765</v>
      </c>
      <c r="AB60" s="5">
        <v>75.099999999999994</v>
      </c>
    </row>
    <row r="61" spans="1:28" x14ac:dyDescent="0.2">
      <c r="A61" s="3">
        <v>60</v>
      </c>
      <c r="B61" s="4" t="s">
        <v>28</v>
      </c>
      <c r="C61" s="5">
        <v>18.978196850678732</v>
      </c>
      <c r="D61" s="5">
        <v>46.474439416792357</v>
      </c>
      <c r="E61" s="5">
        <v>6.5104675716440426</v>
      </c>
      <c r="F61" s="5">
        <v>0.13793363499245853</v>
      </c>
      <c r="G61" s="5">
        <v>0.52414781297134239</v>
      </c>
      <c r="H61" s="5">
        <v>37.803011563599796</v>
      </c>
      <c r="I61" s="5">
        <v>0.55000000000000004</v>
      </c>
      <c r="J61" s="5">
        <v>8</v>
      </c>
      <c r="K61" s="5">
        <v>82.29</v>
      </c>
      <c r="L61" s="5">
        <v>17.16</v>
      </c>
      <c r="M61" s="5">
        <v>800</v>
      </c>
      <c r="N61" s="5">
        <v>15</v>
      </c>
      <c r="O61" s="5">
        <v>1.56</v>
      </c>
      <c r="P61" s="5">
        <v>0.23</v>
      </c>
      <c r="Q61" s="5" t="s">
        <v>29</v>
      </c>
      <c r="R61" s="5">
        <v>0</v>
      </c>
      <c r="S61">
        <v>33.076923076923073</v>
      </c>
      <c r="T61">
        <v>38.461538461538467</v>
      </c>
      <c r="U61">
        <v>21.794871794871792</v>
      </c>
      <c r="V61">
        <v>6.666666666666667</v>
      </c>
      <c r="W61" s="6">
        <v>6.976</v>
      </c>
      <c r="X61" s="6"/>
      <c r="Y61" s="5">
        <v>1.53</v>
      </c>
      <c r="Z61" s="6"/>
      <c r="AA61" s="5">
        <v>56.239694866576762</v>
      </c>
      <c r="AB61" s="5">
        <v>77.62</v>
      </c>
    </row>
    <row r="62" spans="1:28" x14ac:dyDescent="0.2">
      <c r="A62" s="3">
        <v>61</v>
      </c>
      <c r="B62" s="4" t="s">
        <v>28</v>
      </c>
      <c r="C62" s="5">
        <v>18.978196850678732</v>
      </c>
      <c r="D62" s="5">
        <v>46.474439416792357</v>
      </c>
      <c r="E62" s="5">
        <v>6.5104675716440426</v>
      </c>
      <c r="F62" s="5">
        <v>0.13793363499245853</v>
      </c>
      <c r="G62" s="5">
        <v>0.52414781297134239</v>
      </c>
      <c r="H62" s="5">
        <v>37.803011563599796</v>
      </c>
      <c r="I62" s="5">
        <v>0.55000000000000004</v>
      </c>
      <c r="J62" s="5">
        <v>8</v>
      </c>
      <c r="K62" s="5">
        <v>82.29</v>
      </c>
      <c r="L62" s="5">
        <v>17.16</v>
      </c>
      <c r="M62" s="5">
        <v>800</v>
      </c>
      <c r="N62" s="5">
        <v>15</v>
      </c>
      <c r="O62" s="5">
        <v>1.56</v>
      </c>
      <c r="P62" s="5">
        <v>0.23</v>
      </c>
      <c r="Q62" s="5" t="s">
        <v>29</v>
      </c>
      <c r="R62" s="5">
        <v>0.25773195876288657</v>
      </c>
      <c r="S62">
        <v>33.333333333333329</v>
      </c>
      <c r="T62">
        <v>38.759689922480625</v>
      </c>
      <c r="U62">
        <v>20.155038759689923</v>
      </c>
      <c r="V62">
        <v>7.7519379844961236</v>
      </c>
      <c r="W62" s="6">
        <v>7.9370000000000003</v>
      </c>
      <c r="X62" s="6"/>
      <c r="Y62" s="5">
        <v>1.93</v>
      </c>
      <c r="Z62" s="6"/>
      <c r="AA62" s="5">
        <v>80.715834705087673</v>
      </c>
      <c r="AB62" s="5">
        <v>84.4</v>
      </c>
    </row>
    <row r="63" spans="1:28" x14ac:dyDescent="0.2">
      <c r="A63" s="3">
        <v>62</v>
      </c>
      <c r="B63" s="4" t="s">
        <v>28</v>
      </c>
      <c r="C63" s="5">
        <v>18.978196850678732</v>
      </c>
      <c r="D63" s="5">
        <v>46.474439416792357</v>
      </c>
      <c r="E63" s="5">
        <v>6.5104675716440426</v>
      </c>
      <c r="F63" s="5">
        <v>0.13793363499245853</v>
      </c>
      <c r="G63" s="5">
        <v>0.52414781297134239</v>
      </c>
      <c r="H63" s="5">
        <v>37.803011563599796</v>
      </c>
      <c r="I63" s="5">
        <v>0.55000000000000004</v>
      </c>
      <c r="J63" s="5">
        <v>8</v>
      </c>
      <c r="K63" s="5">
        <v>82.29</v>
      </c>
      <c r="L63" s="5">
        <v>17.16</v>
      </c>
      <c r="M63" s="5">
        <v>800</v>
      </c>
      <c r="N63" s="5">
        <v>15</v>
      </c>
      <c r="O63" s="5">
        <v>1.56</v>
      </c>
      <c r="P63" s="5">
        <v>0.23</v>
      </c>
      <c r="Q63" s="5" t="s">
        <v>29</v>
      </c>
      <c r="R63" s="5">
        <v>0.25773195876288657</v>
      </c>
      <c r="S63">
        <v>33.333333333333336</v>
      </c>
      <c r="T63">
        <v>41.343669250645995</v>
      </c>
      <c r="U63">
        <v>17.571059431524549</v>
      </c>
      <c r="V63">
        <v>7.7519379844961254</v>
      </c>
      <c r="W63" s="6">
        <v>8.7080000000000002</v>
      </c>
      <c r="X63" s="6"/>
      <c r="Y63" s="5">
        <v>2.37</v>
      </c>
      <c r="Z63" s="6"/>
      <c r="AA63" s="5">
        <v>108.74563143369392</v>
      </c>
      <c r="AB63" s="5">
        <v>90.6</v>
      </c>
    </row>
    <row r="64" spans="1:28" x14ac:dyDescent="0.2">
      <c r="A64" s="3">
        <v>63</v>
      </c>
      <c r="B64" s="4" t="s">
        <v>28</v>
      </c>
      <c r="C64" s="5">
        <v>18.978196850678732</v>
      </c>
      <c r="D64" s="5">
        <v>46.474439416792357</v>
      </c>
      <c r="E64" s="5">
        <v>6.5104675716440426</v>
      </c>
      <c r="F64" s="5">
        <v>0.13793363499245853</v>
      </c>
      <c r="G64" s="5">
        <v>0.52414781297134239</v>
      </c>
      <c r="H64" s="5">
        <v>37.803011563599796</v>
      </c>
      <c r="I64" s="5">
        <v>0.55000000000000004</v>
      </c>
      <c r="J64" s="5">
        <v>8</v>
      </c>
      <c r="K64" s="5">
        <v>82.29</v>
      </c>
      <c r="L64" s="5">
        <v>17.16</v>
      </c>
      <c r="M64" s="5">
        <v>800</v>
      </c>
      <c r="N64" s="5">
        <v>15</v>
      </c>
      <c r="O64" s="5">
        <v>1.56</v>
      </c>
      <c r="P64" s="5">
        <v>0.23</v>
      </c>
      <c r="Q64" s="5" t="s">
        <v>29</v>
      </c>
      <c r="R64" s="5">
        <v>0.2590673575129534</v>
      </c>
      <c r="S64">
        <v>31.688311688311689</v>
      </c>
      <c r="T64">
        <v>42.597402597402592</v>
      </c>
      <c r="U64">
        <v>17.662337662337659</v>
      </c>
      <c r="V64">
        <v>8.0519480519480524</v>
      </c>
      <c r="W64" s="6">
        <v>8.7370000000000001</v>
      </c>
      <c r="X64" s="6"/>
      <c r="Y64" s="5">
        <v>2.57</v>
      </c>
      <c r="Z64" s="6"/>
      <c r="AA64" s="5">
        <v>118.31519177859595</v>
      </c>
      <c r="AB64" s="5">
        <v>95.1</v>
      </c>
    </row>
    <row r="65" spans="1:28" x14ac:dyDescent="0.2">
      <c r="A65" s="3">
        <v>64</v>
      </c>
      <c r="B65" s="4" t="s">
        <v>30</v>
      </c>
      <c r="C65" s="5">
        <v>11.5</v>
      </c>
      <c r="D65" s="5">
        <v>23.911875000000002</v>
      </c>
      <c r="E65" s="5">
        <v>4.2042857142857146</v>
      </c>
      <c r="F65" s="5">
        <v>3.5911607142857145</v>
      </c>
      <c r="G65" s="5">
        <v>0.78830357142857155</v>
      </c>
      <c r="H65" s="5">
        <v>16.554375</v>
      </c>
      <c r="I65" s="5">
        <v>44</v>
      </c>
      <c r="J65" s="5">
        <v>6.95</v>
      </c>
      <c r="K65" s="5">
        <v>56</v>
      </c>
      <c r="L65" s="5"/>
      <c r="M65" s="5">
        <v>750</v>
      </c>
      <c r="N65" s="5">
        <v>80</v>
      </c>
      <c r="O65" s="5">
        <v>0</v>
      </c>
      <c r="P65" s="5">
        <v>0.2</v>
      </c>
      <c r="Q65" s="5" t="s">
        <v>23</v>
      </c>
      <c r="R65" s="5">
        <v>63.569937369519828</v>
      </c>
      <c r="S65">
        <v>28.08022922636103</v>
      </c>
      <c r="T65">
        <v>20.630372492836678</v>
      </c>
      <c r="U65">
        <v>40.687679083094551</v>
      </c>
      <c r="V65">
        <v>10.601719197707736</v>
      </c>
      <c r="W65" s="5">
        <v>3.4</v>
      </c>
      <c r="X65" s="5">
        <v>17.3</v>
      </c>
      <c r="Y65" s="5">
        <v>0.96805000000000008</v>
      </c>
      <c r="Z65" s="5">
        <v>44.479350000000004</v>
      </c>
      <c r="AA65" s="5">
        <v>28.620608695652173</v>
      </c>
      <c r="AB65" s="5">
        <v>54</v>
      </c>
    </row>
    <row r="66" spans="1:28" x14ac:dyDescent="0.2">
      <c r="A66" s="3">
        <v>65</v>
      </c>
      <c r="B66" s="4" t="s">
        <v>30</v>
      </c>
      <c r="C66" s="5">
        <v>11.5</v>
      </c>
      <c r="D66" s="5">
        <v>23.911875000000002</v>
      </c>
      <c r="E66" s="5">
        <v>4.2042857142857146</v>
      </c>
      <c r="F66" s="5">
        <v>3.5911607142857145</v>
      </c>
      <c r="G66" s="5">
        <v>0.78830357142857155</v>
      </c>
      <c r="H66" s="5">
        <v>16.554375</v>
      </c>
      <c r="I66" s="5">
        <v>44</v>
      </c>
      <c r="J66" s="5">
        <v>6.95</v>
      </c>
      <c r="K66" s="5">
        <v>56</v>
      </c>
      <c r="L66" s="5"/>
      <c r="M66" s="5">
        <v>800</v>
      </c>
      <c r="N66" s="5">
        <v>80</v>
      </c>
      <c r="O66" s="5">
        <v>0</v>
      </c>
      <c r="P66" s="5">
        <v>0.2</v>
      </c>
      <c r="Q66" s="5" t="s">
        <v>23</v>
      </c>
      <c r="R66" s="5">
        <v>54.716981132075468</v>
      </c>
      <c r="S66">
        <v>32.407407407407412</v>
      </c>
      <c r="T66">
        <v>24.768518518518515</v>
      </c>
      <c r="U66">
        <v>31.481481481481477</v>
      </c>
      <c r="V66">
        <v>11.342592592592593</v>
      </c>
      <c r="W66" s="5">
        <v>4.8</v>
      </c>
      <c r="X66" s="5">
        <v>14.1</v>
      </c>
      <c r="Y66" s="5">
        <v>1.0190000000000001</v>
      </c>
      <c r="Z66" s="5">
        <v>35.563100000000006</v>
      </c>
      <c r="AA66" s="5">
        <v>42.532173913043486</v>
      </c>
      <c r="AB66" s="5">
        <v>67.3</v>
      </c>
    </row>
    <row r="67" spans="1:28" x14ac:dyDescent="0.2">
      <c r="A67" s="3">
        <v>66</v>
      </c>
      <c r="B67" s="4" t="s">
        <v>30</v>
      </c>
      <c r="C67" s="5">
        <v>11.5</v>
      </c>
      <c r="D67" s="5">
        <v>23.911875000000002</v>
      </c>
      <c r="E67" s="5">
        <v>4.2042857142857146</v>
      </c>
      <c r="F67" s="5">
        <v>3.5911607142857145</v>
      </c>
      <c r="G67" s="5">
        <v>0.78830357142857155</v>
      </c>
      <c r="H67" s="5">
        <v>16.554375</v>
      </c>
      <c r="I67" s="5">
        <v>44</v>
      </c>
      <c r="J67" s="5">
        <v>6.95</v>
      </c>
      <c r="K67" s="5">
        <v>56</v>
      </c>
      <c r="L67" s="5"/>
      <c r="M67" s="5">
        <v>850</v>
      </c>
      <c r="N67" s="5">
        <v>80</v>
      </c>
      <c r="O67" s="5">
        <v>0</v>
      </c>
      <c r="P67" s="5">
        <v>0.2</v>
      </c>
      <c r="Q67" s="5" t="s">
        <v>23</v>
      </c>
      <c r="R67" s="5">
        <v>50.000000000000014</v>
      </c>
      <c r="S67">
        <v>34.381551362683439</v>
      </c>
      <c r="T67">
        <v>26.415094339622641</v>
      </c>
      <c r="U67">
        <v>27.253668763102727</v>
      </c>
      <c r="V67">
        <v>11.949685534591197</v>
      </c>
      <c r="W67" s="5">
        <v>5.6</v>
      </c>
      <c r="X67" s="5">
        <v>10.199999999999999</v>
      </c>
      <c r="Y67" s="5">
        <v>1.0190000000000001</v>
      </c>
      <c r="Z67" s="5">
        <v>36.225450000000002</v>
      </c>
      <c r="AA67" s="5">
        <v>49.62086956521739</v>
      </c>
      <c r="AB67" s="5">
        <v>72.8</v>
      </c>
    </row>
    <row r="68" spans="1:28" x14ac:dyDescent="0.2">
      <c r="A68" s="3">
        <v>67</v>
      </c>
      <c r="B68" s="4" t="s">
        <v>30</v>
      </c>
      <c r="C68" s="5">
        <v>11.5</v>
      </c>
      <c r="D68" s="5">
        <v>23.911875000000002</v>
      </c>
      <c r="E68" s="5">
        <v>4.2042857142857146</v>
      </c>
      <c r="F68" s="5">
        <v>3.5911607142857145</v>
      </c>
      <c r="G68" s="5">
        <v>0.78830357142857155</v>
      </c>
      <c r="H68" s="5">
        <v>16.554375</v>
      </c>
      <c r="I68" s="5">
        <v>44</v>
      </c>
      <c r="J68" s="5">
        <v>6.95</v>
      </c>
      <c r="K68" s="5">
        <v>56</v>
      </c>
      <c r="L68" s="5"/>
      <c r="M68" s="5">
        <v>750</v>
      </c>
      <c r="N68" s="5">
        <v>80</v>
      </c>
      <c r="O68" s="5">
        <v>0</v>
      </c>
      <c r="P68" s="5">
        <v>0.3</v>
      </c>
      <c r="Q68" s="5" t="s">
        <v>23</v>
      </c>
      <c r="R68" s="5">
        <v>67.531120331950206</v>
      </c>
      <c r="S68">
        <v>24.281150159744406</v>
      </c>
      <c r="T68">
        <v>22.044728434504794</v>
      </c>
      <c r="U68">
        <v>45.047923322683708</v>
      </c>
      <c r="V68">
        <v>8.6261980830670915</v>
      </c>
      <c r="W68" s="5">
        <v>2.8</v>
      </c>
      <c r="X68" s="5">
        <v>11.8</v>
      </c>
      <c r="Y68" s="5">
        <v>1.2737500000000002</v>
      </c>
      <c r="Z68" s="5">
        <v>44.988850000000006</v>
      </c>
      <c r="AA68" s="5">
        <v>31.013043478260869</v>
      </c>
      <c r="AB68" s="5">
        <v>66.2</v>
      </c>
    </row>
    <row r="69" spans="1:28" x14ac:dyDescent="0.2">
      <c r="A69" s="3">
        <v>68</v>
      </c>
      <c r="B69" s="4" t="s">
        <v>30</v>
      </c>
      <c r="C69" s="5">
        <v>11.5</v>
      </c>
      <c r="D69" s="5">
        <v>23.911875000000002</v>
      </c>
      <c r="E69" s="5">
        <v>4.2042857142857146</v>
      </c>
      <c r="F69" s="5">
        <v>3.5911607142857145</v>
      </c>
      <c r="G69" s="5">
        <v>0.78830357142857155</v>
      </c>
      <c r="H69" s="5">
        <v>16.554375</v>
      </c>
      <c r="I69" s="5">
        <v>44</v>
      </c>
      <c r="J69" s="5">
        <v>6.95</v>
      </c>
      <c r="K69" s="5">
        <v>56</v>
      </c>
      <c r="L69" s="5"/>
      <c r="M69" s="5">
        <v>800</v>
      </c>
      <c r="N69" s="5">
        <v>80</v>
      </c>
      <c r="O69" s="5">
        <v>0</v>
      </c>
      <c r="P69" s="5">
        <v>0.3</v>
      </c>
      <c r="Q69" s="5" t="s">
        <v>23</v>
      </c>
      <c r="R69" s="5">
        <v>63.136033229491176</v>
      </c>
      <c r="S69">
        <v>29.295774647887324</v>
      </c>
      <c r="T69">
        <v>22.535211267605636</v>
      </c>
      <c r="U69">
        <v>39.718309859154928</v>
      </c>
      <c r="V69">
        <v>8.4507042253521121</v>
      </c>
      <c r="W69" s="5">
        <v>3.3</v>
      </c>
      <c r="X69" s="5">
        <v>7.6</v>
      </c>
      <c r="Y69" s="5">
        <v>1.2737500000000002</v>
      </c>
      <c r="Z69" s="5">
        <v>28.532000000000004</v>
      </c>
      <c r="AA69" s="5">
        <v>36.551086956521743</v>
      </c>
      <c r="AB69" s="5">
        <v>71.3</v>
      </c>
    </row>
    <row r="70" spans="1:28" x14ac:dyDescent="0.2">
      <c r="A70" s="3">
        <v>69</v>
      </c>
      <c r="B70" s="4" t="s">
        <v>30</v>
      </c>
      <c r="C70" s="5">
        <v>11.5</v>
      </c>
      <c r="D70" s="5">
        <v>23.911875000000002</v>
      </c>
      <c r="E70" s="5">
        <v>4.2042857142857146</v>
      </c>
      <c r="F70" s="5">
        <v>3.5911607142857145</v>
      </c>
      <c r="G70" s="5">
        <v>0.78830357142857155</v>
      </c>
      <c r="H70" s="5">
        <v>16.554375</v>
      </c>
      <c r="I70" s="5">
        <v>44</v>
      </c>
      <c r="J70" s="5">
        <v>6.95</v>
      </c>
      <c r="K70" s="5">
        <v>56</v>
      </c>
      <c r="L70" s="5"/>
      <c r="M70" s="5">
        <v>850</v>
      </c>
      <c r="N70" s="5">
        <v>80</v>
      </c>
      <c r="O70" s="5">
        <v>0</v>
      </c>
      <c r="P70" s="5">
        <v>0.3</v>
      </c>
      <c r="Q70" s="5" t="s">
        <v>23</v>
      </c>
      <c r="R70" s="5">
        <v>59.916926272066476</v>
      </c>
      <c r="S70">
        <v>31.347150259067359</v>
      </c>
      <c r="T70">
        <v>26.165803108808294</v>
      </c>
      <c r="U70">
        <v>33.937823834196891</v>
      </c>
      <c r="V70">
        <v>8.5492227979274613</v>
      </c>
      <c r="W70" s="5">
        <v>3.9</v>
      </c>
      <c r="X70" s="5">
        <v>4.3</v>
      </c>
      <c r="Y70" s="5">
        <v>1.3247000000000002</v>
      </c>
      <c r="Z70" s="5">
        <v>19.055300000000003</v>
      </c>
      <c r="AA70" s="5">
        <v>44.924608695652175</v>
      </c>
      <c r="AB70" s="5">
        <v>77.900000000000006</v>
      </c>
    </row>
    <row r="71" spans="1:28" x14ac:dyDescent="0.2">
      <c r="A71" s="3">
        <v>70</v>
      </c>
      <c r="B71" s="4" t="s">
        <v>30</v>
      </c>
      <c r="C71" s="5">
        <v>11.5</v>
      </c>
      <c r="D71" s="5">
        <v>23.911875000000002</v>
      </c>
      <c r="E71" s="5">
        <v>4.2042857142857146</v>
      </c>
      <c r="F71" s="5">
        <v>3.5911607142857145</v>
      </c>
      <c r="G71" s="5">
        <v>0.78830357142857155</v>
      </c>
      <c r="H71" s="5">
        <v>16.554375</v>
      </c>
      <c r="I71" s="5">
        <v>44</v>
      </c>
      <c r="J71" s="5">
        <v>6.95</v>
      </c>
      <c r="K71" s="5">
        <v>56</v>
      </c>
      <c r="L71" s="5"/>
      <c r="M71" s="5">
        <v>750</v>
      </c>
      <c r="N71" s="5">
        <v>80</v>
      </c>
      <c r="O71" s="5">
        <v>0</v>
      </c>
      <c r="P71" s="5">
        <v>0.4</v>
      </c>
      <c r="Q71" s="5" t="s">
        <v>23</v>
      </c>
      <c r="R71" s="5">
        <v>76.820512820512832</v>
      </c>
      <c r="S71">
        <v>14.159292035398231</v>
      </c>
      <c r="T71">
        <v>19.026548672566371</v>
      </c>
      <c r="U71">
        <v>62.389380530973447</v>
      </c>
      <c r="V71">
        <v>4.4247787610619467</v>
      </c>
      <c r="W71" s="5">
        <v>1.3</v>
      </c>
      <c r="X71" s="5">
        <v>6.6</v>
      </c>
      <c r="Y71" s="5">
        <v>1.4775500000000001</v>
      </c>
      <c r="Z71" s="5">
        <v>23.131300000000003</v>
      </c>
      <c r="AA71" s="5">
        <v>16.702739130434782</v>
      </c>
      <c r="AB71" s="5">
        <v>61.6</v>
      </c>
    </row>
    <row r="72" spans="1:28" x14ac:dyDescent="0.2">
      <c r="A72" s="3">
        <v>71</v>
      </c>
      <c r="B72" s="4" t="s">
        <v>30</v>
      </c>
      <c r="C72" s="5">
        <v>11.5</v>
      </c>
      <c r="D72" s="5">
        <v>23.911875000000002</v>
      </c>
      <c r="E72" s="5">
        <v>4.2042857142857146</v>
      </c>
      <c r="F72" s="5">
        <v>3.5911607142857145</v>
      </c>
      <c r="G72" s="5">
        <v>0.78830357142857155</v>
      </c>
      <c r="H72" s="5">
        <v>16.554375</v>
      </c>
      <c r="I72" s="5">
        <v>44</v>
      </c>
      <c r="J72" s="5">
        <v>6.95</v>
      </c>
      <c r="K72" s="5">
        <v>56</v>
      </c>
      <c r="L72" s="5"/>
      <c r="M72" s="5">
        <v>800</v>
      </c>
      <c r="N72" s="5">
        <v>80</v>
      </c>
      <c r="O72" s="5">
        <v>0</v>
      </c>
      <c r="P72" s="5">
        <v>0.4</v>
      </c>
      <c r="Q72" s="5" t="s">
        <v>23</v>
      </c>
      <c r="R72" s="5">
        <v>67.389060887512898</v>
      </c>
      <c r="S72">
        <v>26.898734177215182</v>
      </c>
      <c r="T72">
        <v>21.835443037974684</v>
      </c>
      <c r="U72">
        <v>43.670886075949369</v>
      </c>
      <c r="V72">
        <v>7.5949367088607582</v>
      </c>
      <c r="W72" s="5">
        <v>2.7</v>
      </c>
      <c r="X72" s="5">
        <v>4.8</v>
      </c>
      <c r="Y72" s="5">
        <v>1.5794500000000002</v>
      </c>
      <c r="Z72" s="5">
        <v>19.666700000000002</v>
      </c>
      <c r="AA72" s="5">
        <v>37.082739130434796</v>
      </c>
      <c r="AB72" s="5">
        <v>79.5</v>
      </c>
    </row>
    <row r="73" spans="1:28" x14ac:dyDescent="0.2">
      <c r="A73" s="3">
        <v>72</v>
      </c>
      <c r="B73" s="4" t="s">
        <v>30</v>
      </c>
      <c r="C73" s="5">
        <v>11.5</v>
      </c>
      <c r="D73" s="5">
        <v>23.911875000000002</v>
      </c>
      <c r="E73" s="5">
        <v>4.2042857142857146</v>
      </c>
      <c r="F73" s="5">
        <v>3.5911607142857145</v>
      </c>
      <c r="G73" s="5">
        <v>0.78830357142857155</v>
      </c>
      <c r="H73" s="5">
        <v>16.554375</v>
      </c>
      <c r="I73" s="5">
        <v>44</v>
      </c>
      <c r="J73" s="5">
        <v>6.95</v>
      </c>
      <c r="K73" s="5">
        <v>56</v>
      </c>
      <c r="L73" s="5"/>
      <c r="M73" s="5">
        <v>850</v>
      </c>
      <c r="N73" s="5">
        <v>80</v>
      </c>
      <c r="O73" s="5">
        <v>0</v>
      </c>
      <c r="P73" s="5">
        <v>0.4</v>
      </c>
      <c r="Q73" s="5" t="s">
        <v>23</v>
      </c>
      <c r="R73" s="5">
        <v>65.123456790123456</v>
      </c>
      <c r="S73">
        <v>28.613569321533923</v>
      </c>
      <c r="T73">
        <v>24.188790560471979</v>
      </c>
      <c r="U73">
        <v>41.002949852507378</v>
      </c>
      <c r="V73">
        <v>6.1946902654867264</v>
      </c>
      <c r="W73" s="5">
        <v>2.9</v>
      </c>
      <c r="X73" s="5">
        <v>3</v>
      </c>
      <c r="Y73" s="5">
        <v>1.5794500000000002</v>
      </c>
      <c r="Z73" s="5">
        <v>6.5216000000000012</v>
      </c>
      <c r="AA73" s="5">
        <v>39.829608695652176</v>
      </c>
      <c r="AB73" s="5">
        <v>89.1</v>
      </c>
    </row>
    <row r="74" spans="1:28" x14ac:dyDescent="0.2">
      <c r="A74" s="3">
        <v>73</v>
      </c>
      <c r="B74" s="4" t="s">
        <v>30</v>
      </c>
      <c r="C74" s="5">
        <v>11.5</v>
      </c>
      <c r="D74" s="5">
        <v>23.911875000000002</v>
      </c>
      <c r="E74" s="5">
        <v>4.2042857142857146</v>
      </c>
      <c r="F74" s="5">
        <v>3.5911607142857145</v>
      </c>
      <c r="G74" s="5">
        <v>0.78830357142857155</v>
      </c>
      <c r="H74" s="5">
        <v>16.554375</v>
      </c>
      <c r="I74" s="5">
        <v>44</v>
      </c>
      <c r="J74" s="5">
        <v>6.95</v>
      </c>
      <c r="K74" s="5">
        <v>56</v>
      </c>
      <c r="L74" s="5"/>
      <c r="M74" s="5">
        <v>750</v>
      </c>
      <c r="N74" s="5">
        <v>80</v>
      </c>
      <c r="O74" s="5">
        <v>0.5</v>
      </c>
      <c r="P74" s="5">
        <v>0.3</v>
      </c>
      <c r="Q74" s="5" t="s">
        <v>29</v>
      </c>
      <c r="R74" s="5">
        <v>63.333333333333329</v>
      </c>
      <c r="S74">
        <v>28.125</v>
      </c>
      <c r="T74">
        <v>21.875000000000004</v>
      </c>
      <c r="U74">
        <v>42.045454545454554</v>
      </c>
      <c r="V74">
        <v>7.9545454545454541</v>
      </c>
      <c r="W74" s="5">
        <v>3.2</v>
      </c>
      <c r="X74" s="5">
        <v>11.2</v>
      </c>
      <c r="Y74" s="5">
        <v>1.2228000000000001</v>
      </c>
      <c r="Z74" s="5">
        <v>18.953400000000006</v>
      </c>
      <c r="AA74" s="5">
        <v>34.025739130434786</v>
      </c>
      <c r="AB74" s="5">
        <v>72.2</v>
      </c>
    </row>
    <row r="75" spans="1:28" x14ac:dyDescent="0.2">
      <c r="A75" s="3">
        <v>74</v>
      </c>
      <c r="B75" s="4" t="s">
        <v>30</v>
      </c>
      <c r="C75" s="5">
        <v>11.5</v>
      </c>
      <c r="D75" s="5">
        <v>23.911875000000002</v>
      </c>
      <c r="E75" s="5">
        <v>4.2042857142857146</v>
      </c>
      <c r="F75" s="5">
        <v>3.5911607142857145</v>
      </c>
      <c r="G75" s="5">
        <v>0.78830357142857155</v>
      </c>
      <c r="H75" s="5">
        <v>16.554375</v>
      </c>
      <c r="I75" s="5">
        <v>44</v>
      </c>
      <c r="J75" s="5">
        <v>6.95</v>
      </c>
      <c r="K75" s="5">
        <v>56</v>
      </c>
      <c r="L75" s="5"/>
      <c r="M75" s="5">
        <v>800</v>
      </c>
      <c r="N75" s="5">
        <v>80</v>
      </c>
      <c r="O75" s="5">
        <v>0.5</v>
      </c>
      <c r="P75" s="5">
        <v>0.3</v>
      </c>
      <c r="Q75" s="5" t="s">
        <v>29</v>
      </c>
      <c r="R75" s="5">
        <v>61.347150259067362</v>
      </c>
      <c r="S75">
        <v>29.490616621983918</v>
      </c>
      <c r="T75">
        <v>22.520107238605902</v>
      </c>
      <c r="U75">
        <v>39.678284182305639</v>
      </c>
      <c r="V75">
        <v>8.3109919571045587</v>
      </c>
      <c r="W75" s="5">
        <v>3.5</v>
      </c>
      <c r="X75" s="5">
        <v>7.2</v>
      </c>
      <c r="Y75" s="5">
        <v>1.3247000000000002</v>
      </c>
      <c r="Z75" s="5">
        <v>8.4067500000000006</v>
      </c>
      <c r="AA75" s="5">
        <v>40.316956521739137</v>
      </c>
      <c r="AB75" s="5">
        <v>79.7</v>
      </c>
    </row>
    <row r="76" spans="1:28" x14ac:dyDescent="0.2">
      <c r="A76" s="3">
        <v>75</v>
      </c>
      <c r="B76" s="4" t="s">
        <v>30</v>
      </c>
      <c r="C76" s="5">
        <v>11.5</v>
      </c>
      <c r="D76" s="5">
        <v>23.911875000000002</v>
      </c>
      <c r="E76" s="5">
        <v>4.2042857142857146</v>
      </c>
      <c r="F76" s="5">
        <v>3.5911607142857145</v>
      </c>
      <c r="G76" s="5">
        <v>0.78830357142857155</v>
      </c>
      <c r="H76" s="5">
        <v>16.554375</v>
      </c>
      <c r="I76" s="5">
        <v>44</v>
      </c>
      <c r="J76" s="5">
        <v>6.95</v>
      </c>
      <c r="K76" s="5">
        <v>56</v>
      </c>
      <c r="L76" s="5"/>
      <c r="M76" s="5">
        <v>850</v>
      </c>
      <c r="N76" s="5">
        <v>80</v>
      </c>
      <c r="O76" s="5">
        <v>0.5</v>
      </c>
      <c r="P76" s="5">
        <v>0.3</v>
      </c>
      <c r="Q76" s="5" t="s">
        <v>29</v>
      </c>
      <c r="R76" s="5">
        <v>55.463917525773191</v>
      </c>
      <c r="S76">
        <v>35.879629629629626</v>
      </c>
      <c r="T76">
        <v>24.07407407407408</v>
      </c>
      <c r="U76">
        <v>32.638888888888886</v>
      </c>
      <c r="V76">
        <v>7.4074074074074083</v>
      </c>
      <c r="W76" s="5">
        <v>4.2</v>
      </c>
      <c r="X76" s="5">
        <v>4</v>
      </c>
      <c r="Y76" s="5">
        <v>1.4266000000000001</v>
      </c>
      <c r="Z76" s="5">
        <v>6.7254000000000005</v>
      </c>
      <c r="AA76" s="5">
        <v>52.101913043478262</v>
      </c>
      <c r="AB76" s="5">
        <v>86.7</v>
      </c>
    </row>
    <row r="77" spans="1:28" x14ac:dyDescent="0.2">
      <c r="A77" s="3">
        <v>76</v>
      </c>
      <c r="B77" s="4" t="s">
        <v>30</v>
      </c>
      <c r="C77" s="5">
        <v>11.5</v>
      </c>
      <c r="D77" s="5">
        <v>23.911875000000002</v>
      </c>
      <c r="E77" s="5">
        <v>4.2042857142857146</v>
      </c>
      <c r="F77" s="5">
        <v>3.5911607142857145</v>
      </c>
      <c r="G77" s="5">
        <v>0.78830357142857155</v>
      </c>
      <c r="H77" s="5">
        <v>16.554375</v>
      </c>
      <c r="I77" s="5">
        <v>44</v>
      </c>
      <c r="J77" s="5">
        <v>6.95</v>
      </c>
      <c r="K77" s="5">
        <v>56</v>
      </c>
      <c r="L77" s="5"/>
      <c r="M77" s="5">
        <v>750</v>
      </c>
      <c r="N77" s="5">
        <v>80</v>
      </c>
      <c r="O77" s="5">
        <v>1</v>
      </c>
      <c r="P77" s="5">
        <v>0.3</v>
      </c>
      <c r="Q77" s="5" t="s">
        <v>29</v>
      </c>
      <c r="R77" s="5">
        <v>62.461220268872793</v>
      </c>
      <c r="S77">
        <v>27.54820936639118</v>
      </c>
      <c r="T77">
        <v>21.487603305785122</v>
      </c>
      <c r="U77">
        <v>42.975206611570243</v>
      </c>
      <c r="V77">
        <v>7.9889807162534439</v>
      </c>
      <c r="W77" s="5">
        <v>3.2</v>
      </c>
      <c r="X77" s="5">
        <v>10.9</v>
      </c>
      <c r="Y77" s="5">
        <v>1.2737500000000002</v>
      </c>
      <c r="Z77" s="5">
        <v>17.679650000000002</v>
      </c>
      <c r="AA77" s="5">
        <v>35.443478260869568</v>
      </c>
      <c r="AB77" s="5">
        <v>74.7</v>
      </c>
    </row>
    <row r="78" spans="1:28" x14ac:dyDescent="0.2">
      <c r="A78" s="3">
        <v>77</v>
      </c>
      <c r="B78" s="4" t="s">
        <v>30</v>
      </c>
      <c r="C78" s="5">
        <v>11.5</v>
      </c>
      <c r="D78" s="5">
        <v>23.911875000000002</v>
      </c>
      <c r="E78" s="5">
        <v>4.2042857142857146</v>
      </c>
      <c r="F78" s="5">
        <v>3.5911607142857145</v>
      </c>
      <c r="G78" s="5">
        <v>0.78830357142857155</v>
      </c>
      <c r="H78" s="5">
        <v>16.554375</v>
      </c>
      <c r="I78" s="5">
        <v>44</v>
      </c>
      <c r="J78" s="5">
        <v>6.95</v>
      </c>
      <c r="K78" s="5">
        <v>56</v>
      </c>
      <c r="L78" s="5"/>
      <c r="M78" s="5">
        <v>800</v>
      </c>
      <c r="N78" s="5">
        <v>80</v>
      </c>
      <c r="O78" s="5">
        <v>1</v>
      </c>
      <c r="P78" s="5">
        <v>0.3</v>
      </c>
      <c r="Q78" s="5" t="s">
        <v>29</v>
      </c>
      <c r="R78" s="5">
        <v>60.309278350515463</v>
      </c>
      <c r="S78">
        <v>31.168831168831172</v>
      </c>
      <c r="T78">
        <v>22.337662337662337</v>
      </c>
      <c r="U78">
        <v>39.480519480519483</v>
      </c>
      <c r="V78">
        <v>7.0129870129870149</v>
      </c>
      <c r="W78" s="5">
        <v>3.5</v>
      </c>
      <c r="X78" s="5">
        <v>6.9</v>
      </c>
      <c r="Y78" s="5">
        <v>1.3247000000000002</v>
      </c>
      <c r="Z78" s="5">
        <v>7.5915500000000016</v>
      </c>
      <c r="AA78" s="5">
        <v>40.316956521739137</v>
      </c>
      <c r="AB78" s="5">
        <v>79.8</v>
      </c>
    </row>
    <row r="79" spans="1:28" x14ac:dyDescent="0.2">
      <c r="A79" s="3">
        <v>78</v>
      </c>
      <c r="B79" s="4" t="s">
        <v>30</v>
      </c>
      <c r="C79" s="5">
        <v>11.5</v>
      </c>
      <c r="D79" s="5">
        <v>23.911875000000002</v>
      </c>
      <c r="E79" s="5">
        <v>4.2042857142857146</v>
      </c>
      <c r="F79" s="5">
        <v>3.5911607142857145</v>
      </c>
      <c r="G79" s="5">
        <v>0.78830357142857155</v>
      </c>
      <c r="H79" s="5">
        <v>16.554375</v>
      </c>
      <c r="I79" s="5">
        <v>44</v>
      </c>
      <c r="J79" s="5">
        <v>6.95</v>
      </c>
      <c r="K79" s="5">
        <v>56</v>
      </c>
      <c r="L79" s="5"/>
      <c r="M79" s="5">
        <v>850</v>
      </c>
      <c r="N79" s="5">
        <v>80</v>
      </c>
      <c r="O79" s="5">
        <v>1</v>
      </c>
      <c r="P79" s="5">
        <v>0.3</v>
      </c>
      <c r="Q79" s="5" t="s">
        <v>29</v>
      </c>
      <c r="R79" s="5">
        <v>54.742268041237118</v>
      </c>
      <c r="S79">
        <v>36.674259681093396</v>
      </c>
      <c r="T79">
        <v>23.006833712984051</v>
      </c>
      <c r="U79">
        <v>33.485193621867879</v>
      </c>
      <c r="V79">
        <v>6.83371298405467</v>
      </c>
      <c r="W79" s="5">
        <v>4.2</v>
      </c>
      <c r="X79" s="5">
        <v>3.9</v>
      </c>
      <c r="Y79" s="5">
        <v>1.4266000000000001</v>
      </c>
      <c r="Z79" s="5">
        <v>7.5915500000000016</v>
      </c>
      <c r="AA79" s="5">
        <v>52.101913043478262</v>
      </c>
      <c r="AB79" s="5">
        <v>87.6</v>
      </c>
    </row>
    <row r="80" spans="1:28" x14ac:dyDescent="0.2">
      <c r="A80" s="3">
        <v>79</v>
      </c>
      <c r="B80" s="4" t="s">
        <v>30</v>
      </c>
      <c r="C80" s="5">
        <v>11.5</v>
      </c>
      <c r="D80" s="5">
        <v>23.911875000000002</v>
      </c>
      <c r="E80" s="5">
        <v>4.2042857142857146</v>
      </c>
      <c r="F80" s="5">
        <v>3.5911607142857145</v>
      </c>
      <c r="G80" s="5">
        <v>0.78830357142857155</v>
      </c>
      <c r="H80" s="5">
        <v>16.554375</v>
      </c>
      <c r="I80" s="5">
        <v>44</v>
      </c>
      <c r="J80" s="5">
        <v>6.95</v>
      </c>
      <c r="K80" s="5">
        <v>56</v>
      </c>
      <c r="L80" s="5"/>
      <c r="M80" s="5">
        <v>750</v>
      </c>
      <c r="N80" s="5">
        <v>80</v>
      </c>
      <c r="O80" s="5">
        <v>0</v>
      </c>
      <c r="P80" s="5">
        <v>0.3</v>
      </c>
      <c r="Q80" s="5" t="s">
        <v>23</v>
      </c>
      <c r="R80" s="5">
        <v>66.907216494845372</v>
      </c>
      <c r="S80">
        <v>24.922118380062305</v>
      </c>
      <c r="T80">
        <v>23.676012461059194</v>
      </c>
      <c r="U80">
        <v>44.236760124610591</v>
      </c>
      <c r="V80">
        <v>7.165109034267914</v>
      </c>
      <c r="W80" s="5">
        <v>2.7</v>
      </c>
      <c r="X80" s="5">
        <v>7.4</v>
      </c>
      <c r="Y80" s="5">
        <v>1.2737500000000002</v>
      </c>
      <c r="Z80" s="5">
        <v>25.271200000000004</v>
      </c>
      <c r="AA80" s="5">
        <v>29.905434782608701</v>
      </c>
      <c r="AB80" s="5">
        <v>68.400000000000006</v>
      </c>
    </row>
    <row r="81" spans="1:28" x14ac:dyDescent="0.2">
      <c r="A81" s="3">
        <v>80</v>
      </c>
      <c r="B81" s="4" t="s">
        <v>30</v>
      </c>
      <c r="C81" s="5">
        <v>11.5</v>
      </c>
      <c r="D81" s="5">
        <v>23.911875000000002</v>
      </c>
      <c r="E81" s="5">
        <v>4.2042857142857146</v>
      </c>
      <c r="F81" s="5">
        <v>3.5911607142857145</v>
      </c>
      <c r="G81" s="5">
        <v>0.78830357142857155</v>
      </c>
      <c r="H81" s="5">
        <v>16.554375</v>
      </c>
      <c r="I81" s="5">
        <v>44</v>
      </c>
      <c r="J81" s="5">
        <v>6.95</v>
      </c>
      <c r="K81" s="5">
        <v>56</v>
      </c>
      <c r="L81" s="5"/>
      <c r="M81" s="5">
        <v>800</v>
      </c>
      <c r="N81" s="5">
        <v>80</v>
      </c>
      <c r="O81" s="5">
        <v>0</v>
      </c>
      <c r="P81" s="5">
        <v>0.3</v>
      </c>
      <c r="Q81" s="5" t="s">
        <v>23</v>
      </c>
      <c r="R81" s="5">
        <v>61.831275720164612</v>
      </c>
      <c r="S81">
        <v>33.153638814016176</v>
      </c>
      <c r="T81">
        <v>22.911051212938002</v>
      </c>
      <c r="U81">
        <v>36.388140161725069</v>
      </c>
      <c r="V81">
        <v>7.5471698113207548</v>
      </c>
      <c r="W81" s="5">
        <v>3.5</v>
      </c>
      <c r="X81" s="5">
        <v>4.3</v>
      </c>
      <c r="Y81" s="5">
        <v>1.3756500000000003</v>
      </c>
      <c r="Z81" s="5">
        <v>29.500050000000002</v>
      </c>
      <c r="AA81" s="5">
        <v>41.86760869565218</v>
      </c>
      <c r="AB81" s="5">
        <v>73.099999999999994</v>
      </c>
    </row>
    <row r="82" spans="1:28" x14ac:dyDescent="0.2">
      <c r="A82" s="3">
        <v>81</v>
      </c>
      <c r="B82" s="4" t="s">
        <v>30</v>
      </c>
      <c r="C82" s="5">
        <v>11.5</v>
      </c>
      <c r="D82" s="5">
        <v>23.911875000000002</v>
      </c>
      <c r="E82" s="5">
        <v>4.2042857142857146</v>
      </c>
      <c r="F82" s="5">
        <v>3.5911607142857145</v>
      </c>
      <c r="G82" s="5">
        <v>0.78830357142857155</v>
      </c>
      <c r="H82" s="5">
        <v>16.554375</v>
      </c>
      <c r="I82" s="5">
        <v>44</v>
      </c>
      <c r="J82" s="5">
        <v>6.95</v>
      </c>
      <c r="K82" s="5">
        <v>56</v>
      </c>
      <c r="L82" s="5"/>
      <c r="M82" s="5">
        <v>850</v>
      </c>
      <c r="N82" s="5">
        <v>80</v>
      </c>
      <c r="O82" s="5">
        <v>0</v>
      </c>
      <c r="P82" s="5">
        <v>0.3</v>
      </c>
      <c r="Q82" s="5" t="s">
        <v>23</v>
      </c>
      <c r="R82" s="5">
        <v>56.454918032786892</v>
      </c>
      <c r="S82">
        <v>35.294117647058819</v>
      </c>
      <c r="T82">
        <v>28.70588235294117</v>
      </c>
      <c r="U82">
        <v>29.411764705882355</v>
      </c>
      <c r="V82">
        <v>6.5882352941176459</v>
      </c>
      <c r="W82" s="5">
        <v>4.3</v>
      </c>
      <c r="X82" s="5">
        <v>2.2999999999999998</v>
      </c>
      <c r="Y82" s="5">
        <v>1.4266000000000001</v>
      </c>
      <c r="Z82" s="5">
        <v>9.2728999999999999</v>
      </c>
      <c r="AA82" s="5">
        <v>53.342434782608692</v>
      </c>
      <c r="AB82" s="5">
        <v>85.5</v>
      </c>
    </row>
    <row r="83" spans="1:28" x14ac:dyDescent="0.2">
      <c r="A83" s="3">
        <v>82</v>
      </c>
      <c r="B83" s="4" t="s">
        <v>30</v>
      </c>
      <c r="C83" s="5">
        <v>11.5</v>
      </c>
      <c r="D83" s="5">
        <v>23.911875000000002</v>
      </c>
      <c r="E83" s="5">
        <v>4.2042857142857146</v>
      </c>
      <c r="F83" s="5">
        <v>3.5911607142857145</v>
      </c>
      <c r="G83" s="5">
        <v>0.78830357142857155</v>
      </c>
      <c r="H83" s="5">
        <v>16.554375</v>
      </c>
      <c r="I83" s="5">
        <v>44</v>
      </c>
      <c r="J83" s="5">
        <v>6.95</v>
      </c>
      <c r="K83" s="5">
        <v>56</v>
      </c>
      <c r="L83" s="5"/>
      <c r="M83" s="5">
        <v>750</v>
      </c>
      <c r="N83" s="5">
        <v>80</v>
      </c>
      <c r="O83" s="5">
        <v>0</v>
      </c>
      <c r="P83" s="5">
        <v>0.3</v>
      </c>
      <c r="Q83" s="5" t="s">
        <v>23</v>
      </c>
      <c r="R83" s="5">
        <v>66.187050359712245</v>
      </c>
      <c r="S83">
        <v>26.747720364741646</v>
      </c>
      <c r="T83">
        <v>23.404255319148941</v>
      </c>
      <c r="U83">
        <v>42.857142857142854</v>
      </c>
      <c r="V83">
        <v>6.9908814589665651</v>
      </c>
      <c r="W83" s="5">
        <v>2.8</v>
      </c>
      <c r="X83" s="5">
        <v>4.7</v>
      </c>
      <c r="Y83" s="5">
        <v>1.2737500000000002</v>
      </c>
      <c r="Z83" s="5">
        <v>26.137350000000001</v>
      </c>
      <c r="AA83" s="5">
        <v>31.013043478260869</v>
      </c>
      <c r="AB83" s="5">
        <v>69.400000000000006</v>
      </c>
    </row>
    <row r="84" spans="1:28" x14ac:dyDescent="0.2">
      <c r="A84" s="3">
        <v>83</v>
      </c>
      <c r="B84" s="4" t="s">
        <v>30</v>
      </c>
      <c r="C84" s="5">
        <v>11.5</v>
      </c>
      <c r="D84" s="5">
        <v>23.911875000000002</v>
      </c>
      <c r="E84" s="5">
        <v>4.2042857142857146</v>
      </c>
      <c r="F84" s="5">
        <v>3.5911607142857145</v>
      </c>
      <c r="G84" s="5">
        <v>0.78830357142857155</v>
      </c>
      <c r="H84" s="5">
        <v>16.554375</v>
      </c>
      <c r="I84" s="5">
        <v>44</v>
      </c>
      <c r="J84" s="5">
        <v>6.95</v>
      </c>
      <c r="K84" s="5">
        <v>56</v>
      </c>
      <c r="L84" s="5"/>
      <c r="M84" s="5">
        <v>800</v>
      </c>
      <c r="N84" s="5">
        <v>80</v>
      </c>
      <c r="O84" s="5">
        <v>0</v>
      </c>
      <c r="P84" s="5">
        <v>0.3</v>
      </c>
      <c r="Q84" s="5" t="s">
        <v>23</v>
      </c>
      <c r="R84" s="5">
        <v>62.552301255230134</v>
      </c>
      <c r="S84">
        <v>33.798882681564244</v>
      </c>
      <c r="T84">
        <v>23.184357541899448</v>
      </c>
      <c r="U84">
        <v>35.195530726256976</v>
      </c>
      <c r="V84">
        <v>7.8212290502793298</v>
      </c>
      <c r="W84" s="5">
        <v>3.5</v>
      </c>
      <c r="X84" s="5">
        <v>2.6</v>
      </c>
      <c r="Y84" s="5">
        <v>1.4266000000000001</v>
      </c>
      <c r="Z84" s="5">
        <v>42.950850000000003</v>
      </c>
      <c r="AA84" s="5">
        <v>43.418260869565216</v>
      </c>
      <c r="AB84" s="5">
        <v>71.400000000000006</v>
      </c>
    </row>
    <row r="85" spans="1:28" x14ac:dyDescent="0.2">
      <c r="A85" s="3">
        <v>84</v>
      </c>
      <c r="B85" s="4" t="s">
        <v>30</v>
      </c>
      <c r="C85" s="5">
        <v>11.5</v>
      </c>
      <c r="D85" s="5">
        <v>23.911875000000002</v>
      </c>
      <c r="E85" s="5">
        <v>4.2042857142857146</v>
      </c>
      <c r="F85" s="5">
        <v>3.5911607142857145</v>
      </c>
      <c r="G85" s="5">
        <v>0.78830357142857155</v>
      </c>
      <c r="H85" s="5">
        <v>16.554375</v>
      </c>
      <c r="I85" s="5">
        <v>44</v>
      </c>
      <c r="J85" s="5">
        <v>6.95</v>
      </c>
      <c r="K85" s="5">
        <v>56</v>
      </c>
      <c r="L85" s="5"/>
      <c r="M85" s="5">
        <v>850</v>
      </c>
      <c r="N85" s="5">
        <v>80</v>
      </c>
      <c r="O85" s="5">
        <v>0</v>
      </c>
      <c r="P85" s="5">
        <v>0.3</v>
      </c>
      <c r="Q85" s="5" t="s">
        <v>23</v>
      </c>
      <c r="R85" s="5">
        <v>57.889344262295076</v>
      </c>
      <c r="S85">
        <v>34.549878345498783</v>
      </c>
      <c r="T85">
        <v>29.683698296836987</v>
      </c>
      <c r="U85">
        <v>29.683698296836987</v>
      </c>
      <c r="V85">
        <v>6.0827250608272507</v>
      </c>
      <c r="W85" s="5">
        <v>4.0999999999999996</v>
      </c>
      <c r="X85" s="5">
        <v>1.4</v>
      </c>
      <c r="Y85" s="5">
        <v>1.4266000000000001</v>
      </c>
      <c r="Z85" s="5">
        <v>8.4067500000000006</v>
      </c>
      <c r="AA85" s="5">
        <v>50.861391304347819</v>
      </c>
      <c r="AB85" s="5">
        <v>83.3</v>
      </c>
    </row>
    <row r="86" spans="1:28" x14ac:dyDescent="0.2">
      <c r="A86" s="3">
        <v>85</v>
      </c>
      <c r="B86" s="4" t="s">
        <v>30</v>
      </c>
      <c r="C86" s="5">
        <v>11.5</v>
      </c>
      <c r="D86" s="5">
        <v>23.911875000000002</v>
      </c>
      <c r="E86" s="5">
        <v>4.2042857142857146</v>
      </c>
      <c r="F86" s="5">
        <v>3.5911607142857145</v>
      </c>
      <c r="G86" s="5">
        <v>0.78830357142857155</v>
      </c>
      <c r="H86" s="5">
        <v>16.554375</v>
      </c>
      <c r="I86" s="5">
        <v>44</v>
      </c>
      <c r="J86" s="5">
        <v>6.95</v>
      </c>
      <c r="K86" s="5">
        <v>56</v>
      </c>
      <c r="L86" s="5"/>
      <c r="M86" s="5">
        <v>800</v>
      </c>
      <c r="N86" s="5">
        <v>80</v>
      </c>
      <c r="O86" s="5">
        <v>0.5</v>
      </c>
      <c r="P86" s="5">
        <v>0.3</v>
      </c>
      <c r="Q86" s="5" t="s">
        <v>29</v>
      </c>
      <c r="R86" s="5">
        <v>59.87654320987653</v>
      </c>
      <c r="S86">
        <v>34.102564102564109</v>
      </c>
      <c r="T86">
        <v>21.538461538461544</v>
      </c>
      <c r="U86">
        <v>38.205128205128204</v>
      </c>
      <c r="V86">
        <v>6.1538461538461533</v>
      </c>
      <c r="W86" s="5">
        <v>3.5</v>
      </c>
      <c r="X86" s="5">
        <v>3.4</v>
      </c>
      <c r="Y86" s="5">
        <v>1.3756500000000003</v>
      </c>
      <c r="Z86" s="5">
        <v>13.501750000000001</v>
      </c>
      <c r="AA86" s="5">
        <v>41.86760869565218</v>
      </c>
      <c r="AB86" s="5">
        <v>79</v>
      </c>
    </row>
    <row r="87" spans="1:28" x14ac:dyDescent="0.2">
      <c r="A87" s="3">
        <v>86</v>
      </c>
      <c r="B87" s="4" t="s">
        <v>30</v>
      </c>
      <c r="C87" s="5">
        <v>11.5</v>
      </c>
      <c r="D87" s="5">
        <v>23.911875000000002</v>
      </c>
      <c r="E87" s="5">
        <v>4.2042857142857146</v>
      </c>
      <c r="F87" s="5">
        <v>3.5911607142857145</v>
      </c>
      <c r="G87" s="5">
        <v>0.78830357142857155</v>
      </c>
      <c r="H87" s="5">
        <v>16.554375</v>
      </c>
      <c r="I87" s="5">
        <v>44</v>
      </c>
      <c r="J87" s="5">
        <v>6.95</v>
      </c>
      <c r="K87" s="5">
        <v>56</v>
      </c>
      <c r="L87" s="5"/>
      <c r="M87" s="5">
        <v>800</v>
      </c>
      <c r="N87" s="5">
        <v>80</v>
      </c>
      <c r="O87" s="5">
        <v>1</v>
      </c>
      <c r="P87" s="5">
        <v>0.3</v>
      </c>
      <c r="Q87" s="5" t="s">
        <v>29</v>
      </c>
      <c r="R87" s="5">
        <v>57.656731757451197</v>
      </c>
      <c r="S87">
        <v>36.893203883495133</v>
      </c>
      <c r="T87">
        <v>19.660194174757279</v>
      </c>
      <c r="U87">
        <v>37.135922330097088</v>
      </c>
      <c r="V87">
        <v>6.3106796116504844</v>
      </c>
      <c r="W87" s="5">
        <v>3.7</v>
      </c>
      <c r="X87" s="5">
        <v>3.5</v>
      </c>
      <c r="Y87" s="5">
        <v>1.3756500000000003</v>
      </c>
      <c r="Z87" s="5">
        <v>15.183100000000003</v>
      </c>
      <c r="AA87" s="5">
        <v>44.260043478260876</v>
      </c>
      <c r="AB87" s="5">
        <v>80.8</v>
      </c>
    </row>
    <row r="88" spans="1:28" x14ac:dyDescent="0.2">
      <c r="A88" s="3">
        <v>87</v>
      </c>
      <c r="B88" s="4" t="s">
        <v>31</v>
      </c>
      <c r="C88" s="5">
        <v>12.146853999999999</v>
      </c>
      <c r="D88" s="5">
        <v>41.48350684931507</v>
      </c>
      <c r="E88" s="5">
        <v>5.0960342465753428</v>
      </c>
      <c r="F88" s="5">
        <v>0.17880821917808221</v>
      </c>
      <c r="G88" s="5">
        <v>0</v>
      </c>
      <c r="H88" s="5">
        <v>42.645760273972606</v>
      </c>
      <c r="I88" s="5">
        <v>1.095890410958904</v>
      </c>
      <c r="J88" s="5">
        <v>9.5</v>
      </c>
      <c r="K88" s="5">
        <v>88.9</v>
      </c>
      <c r="L88" s="5">
        <v>10</v>
      </c>
      <c r="M88" s="5">
        <v>761</v>
      </c>
      <c r="N88" s="5">
        <v>30</v>
      </c>
      <c r="O88" s="5">
        <v>0</v>
      </c>
      <c r="P88" s="5">
        <v>0.38</v>
      </c>
      <c r="Q88" s="5" t="s">
        <v>23</v>
      </c>
      <c r="R88" s="5">
        <v>59.854310054917391</v>
      </c>
      <c r="S88">
        <v>16.55982905982906</v>
      </c>
      <c r="T88">
        <v>33.760683760683754</v>
      </c>
      <c r="U88">
        <v>40.705128205128204</v>
      </c>
      <c r="V88">
        <v>8.9743589743589745</v>
      </c>
      <c r="W88" s="6">
        <v>4.5918176760442533</v>
      </c>
      <c r="X88" s="6"/>
      <c r="Y88" s="5">
        <v>1.8824000000000001</v>
      </c>
      <c r="Z88" s="6"/>
      <c r="AA88" s="5">
        <v>71.159475477236356</v>
      </c>
      <c r="AB88" s="5">
        <v>86.4</v>
      </c>
    </row>
    <row r="89" spans="1:28" x14ac:dyDescent="0.2">
      <c r="A89" s="3">
        <v>88</v>
      </c>
      <c r="B89" s="4" t="s">
        <v>31</v>
      </c>
      <c r="C89" s="5">
        <v>12.146853999999999</v>
      </c>
      <c r="D89" s="5">
        <v>37.493106849315069</v>
      </c>
      <c r="E89" s="5">
        <v>4.605834246575343</v>
      </c>
      <c r="F89" s="5">
        <v>0.16160821917808221</v>
      </c>
      <c r="G89" s="5">
        <v>0</v>
      </c>
      <c r="H89" s="5">
        <v>38.543560273972602</v>
      </c>
      <c r="I89" s="5">
        <v>1.095890410958904</v>
      </c>
      <c r="J89" s="5">
        <v>18.100000000000001</v>
      </c>
      <c r="K89" s="5">
        <v>88.9</v>
      </c>
      <c r="L89" s="5">
        <v>10</v>
      </c>
      <c r="M89" s="5">
        <v>730</v>
      </c>
      <c r="N89" s="5">
        <v>30</v>
      </c>
      <c r="O89" s="5">
        <v>0</v>
      </c>
      <c r="P89" s="5">
        <v>0.38</v>
      </c>
      <c r="Q89" s="5" t="s">
        <v>23</v>
      </c>
      <c r="R89" s="5">
        <v>61.116581013058081</v>
      </c>
      <c r="S89">
        <v>14.616193480546794</v>
      </c>
      <c r="T89">
        <v>30.17875920084122</v>
      </c>
      <c r="U89">
        <v>46.056782334384856</v>
      </c>
      <c r="V89">
        <v>9.1482649842271293</v>
      </c>
      <c r="W89" s="6">
        <v>4.2382765759376859</v>
      </c>
      <c r="X89" s="6"/>
      <c r="Y89" s="5">
        <v>1.65438</v>
      </c>
      <c r="Z89" s="6"/>
      <c r="AA89" s="5">
        <v>57.724576270528878</v>
      </c>
      <c r="AB89" s="5">
        <v>83.2</v>
      </c>
    </row>
    <row r="90" spans="1:28" x14ac:dyDescent="0.2">
      <c r="A90" s="3">
        <v>89</v>
      </c>
      <c r="B90" s="4" t="s">
        <v>31</v>
      </c>
      <c r="C90" s="5">
        <v>12.146853999999999</v>
      </c>
      <c r="D90" s="5">
        <v>34.059506849315071</v>
      </c>
      <c r="E90" s="5">
        <v>4.1840342465753428</v>
      </c>
      <c r="F90" s="5">
        <v>0.14680821917808221</v>
      </c>
      <c r="G90" s="5">
        <v>0</v>
      </c>
      <c r="H90" s="5">
        <v>35.013760273972608</v>
      </c>
      <c r="I90" s="5">
        <v>1.095890410958904</v>
      </c>
      <c r="J90" s="5">
        <v>25.5</v>
      </c>
      <c r="K90" s="5">
        <v>88.9</v>
      </c>
      <c r="L90" s="5">
        <v>10</v>
      </c>
      <c r="M90" s="5">
        <v>699</v>
      </c>
      <c r="N90" s="5">
        <v>30</v>
      </c>
      <c r="O90" s="5">
        <v>0</v>
      </c>
      <c r="P90" s="5">
        <v>0.38</v>
      </c>
      <c r="Q90" s="5" t="s">
        <v>23</v>
      </c>
      <c r="R90" s="5">
        <v>62.604398743549481</v>
      </c>
      <c r="S90">
        <v>14.810924369747902</v>
      </c>
      <c r="T90">
        <v>28.361344537815132</v>
      </c>
      <c r="U90">
        <v>48.109243697478995</v>
      </c>
      <c r="V90">
        <v>8.7184873949579842</v>
      </c>
      <c r="W90" s="6">
        <v>3.9407506964921635</v>
      </c>
      <c r="X90" s="6"/>
      <c r="Y90" s="5">
        <v>1.49</v>
      </c>
      <c r="Z90" s="6"/>
      <c r="AA90" s="5">
        <v>48.339418072970368</v>
      </c>
      <c r="AB90" s="5">
        <v>79.599999999999994</v>
      </c>
    </row>
    <row r="91" spans="1:28" x14ac:dyDescent="0.2">
      <c r="A91" s="3">
        <v>90</v>
      </c>
      <c r="B91" s="4" t="s">
        <v>31</v>
      </c>
      <c r="C91" s="5">
        <v>11.529541930000001</v>
      </c>
      <c r="D91" s="5">
        <v>33.363506849315065</v>
      </c>
      <c r="E91" s="5">
        <v>4.0985342465753432</v>
      </c>
      <c r="F91" s="5">
        <v>0.1438082191780822</v>
      </c>
      <c r="G91" s="5">
        <v>0</v>
      </c>
      <c r="H91" s="5">
        <v>34.298260273972609</v>
      </c>
      <c r="I91" s="5">
        <v>1.095890410958904</v>
      </c>
      <c r="J91" s="5">
        <v>27</v>
      </c>
      <c r="K91" s="5">
        <v>88.9</v>
      </c>
      <c r="L91" s="5">
        <v>10</v>
      </c>
      <c r="M91" s="5">
        <v>705</v>
      </c>
      <c r="N91" s="5">
        <v>30</v>
      </c>
      <c r="O91" s="5">
        <v>0</v>
      </c>
      <c r="P91" s="5">
        <v>0.36</v>
      </c>
      <c r="Q91" s="5" t="s">
        <v>23</v>
      </c>
      <c r="R91" s="5">
        <v>61.892257328524948</v>
      </c>
      <c r="S91">
        <v>14.210526315789473</v>
      </c>
      <c r="T91">
        <v>29.210526315789469</v>
      </c>
      <c r="U91">
        <v>47.894736842105253</v>
      </c>
      <c r="V91">
        <v>8.6842105263157894</v>
      </c>
      <c r="W91" s="5">
        <v>4.0029604305147437</v>
      </c>
      <c r="X91" s="5">
        <v>14.75</v>
      </c>
      <c r="Y91" s="5">
        <v>1.2774999999999999</v>
      </c>
      <c r="Z91" s="6"/>
      <c r="AA91" s="5">
        <v>44.353730452000569</v>
      </c>
      <c r="AB91" s="5">
        <v>71</v>
      </c>
    </row>
    <row r="92" spans="1:28" x14ac:dyDescent="0.2">
      <c r="A92" s="3">
        <v>91</v>
      </c>
      <c r="B92" s="4" t="s">
        <v>31</v>
      </c>
      <c r="C92" s="5">
        <v>11.529541930000001</v>
      </c>
      <c r="D92" s="5">
        <v>33.363506849315065</v>
      </c>
      <c r="E92" s="5">
        <v>4.0985342465753432</v>
      </c>
      <c r="F92" s="5">
        <v>0.1438082191780822</v>
      </c>
      <c r="G92" s="5">
        <v>0</v>
      </c>
      <c r="H92" s="5">
        <v>34.298260273972609</v>
      </c>
      <c r="I92" s="5">
        <v>1.095890410958904</v>
      </c>
      <c r="J92" s="5">
        <v>27</v>
      </c>
      <c r="K92" s="5">
        <v>88.9</v>
      </c>
      <c r="L92" s="5">
        <v>10</v>
      </c>
      <c r="M92" s="5">
        <v>730</v>
      </c>
      <c r="N92" s="5">
        <v>30</v>
      </c>
      <c r="O92" s="5">
        <v>0</v>
      </c>
      <c r="P92" s="5">
        <v>0.39</v>
      </c>
      <c r="Q92" s="5" t="s">
        <v>23</v>
      </c>
      <c r="R92" s="5">
        <v>62.510859705970326</v>
      </c>
      <c r="S92">
        <v>14.397905759162299</v>
      </c>
      <c r="T92">
        <v>29.319371727748688</v>
      </c>
      <c r="U92">
        <v>47.90575916230366</v>
      </c>
      <c r="V92">
        <v>8.3769633507853385</v>
      </c>
      <c r="W92" s="5">
        <v>3.9032385957566849</v>
      </c>
      <c r="X92" s="5">
        <v>11.75</v>
      </c>
      <c r="Y92" s="5">
        <v>1.46</v>
      </c>
      <c r="Z92" s="6"/>
      <c r="AA92" s="5">
        <v>49.427187865778102</v>
      </c>
      <c r="AB92" s="5">
        <v>75</v>
      </c>
    </row>
    <row r="93" spans="1:28" x14ac:dyDescent="0.2">
      <c r="A93" s="3">
        <v>92</v>
      </c>
      <c r="B93" s="4" t="s">
        <v>31</v>
      </c>
      <c r="C93" s="5">
        <v>11.529541930000001</v>
      </c>
      <c r="D93" s="5">
        <v>33.363506849315065</v>
      </c>
      <c r="E93" s="5">
        <v>4.0985342465753432</v>
      </c>
      <c r="F93" s="5">
        <v>0.1438082191780822</v>
      </c>
      <c r="G93" s="5">
        <v>0</v>
      </c>
      <c r="H93" s="5">
        <v>34.298260273972609</v>
      </c>
      <c r="I93" s="5">
        <v>1.095890410958904</v>
      </c>
      <c r="J93" s="5">
        <v>27</v>
      </c>
      <c r="K93" s="5">
        <v>88.9</v>
      </c>
      <c r="L93" s="5">
        <v>10</v>
      </c>
      <c r="M93" s="5">
        <v>740</v>
      </c>
      <c r="N93" s="5">
        <v>30</v>
      </c>
      <c r="O93" s="5">
        <v>0</v>
      </c>
      <c r="P93" s="5">
        <v>0.42</v>
      </c>
      <c r="Q93" s="5" t="s">
        <v>23</v>
      </c>
      <c r="R93" s="5">
        <v>63.313509948307271</v>
      </c>
      <c r="S93">
        <v>14.882506527415144</v>
      </c>
      <c r="T93">
        <v>28.720626631853786</v>
      </c>
      <c r="U93">
        <v>48.041775456919062</v>
      </c>
      <c r="V93">
        <v>8.3550913838120113</v>
      </c>
      <c r="W93" s="5">
        <v>3.7519885030327629</v>
      </c>
      <c r="X93" s="5">
        <v>10</v>
      </c>
      <c r="Y93" s="5">
        <v>1.6060000000000001</v>
      </c>
      <c r="Z93" s="6"/>
      <c r="AA93" s="5">
        <v>52.263078381212125</v>
      </c>
      <c r="AB93" s="5">
        <v>79</v>
      </c>
    </row>
    <row r="94" spans="1:28" x14ac:dyDescent="0.2">
      <c r="A94" s="3">
        <v>93</v>
      </c>
      <c r="B94" s="4" t="s">
        <v>31</v>
      </c>
      <c r="C94" s="5">
        <v>11.529541930000001</v>
      </c>
      <c r="D94" s="5">
        <v>33.363506849315065</v>
      </c>
      <c r="E94" s="5">
        <v>4.0985342465753432</v>
      </c>
      <c r="F94" s="5">
        <v>0.1438082191780822</v>
      </c>
      <c r="G94" s="5">
        <v>0</v>
      </c>
      <c r="H94" s="5">
        <v>34.298260273972609</v>
      </c>
      <c r="I94" s="5">
        <v>1.095890410958904</v>
      </c>
      <c r="J94" s="5">
        <v>27</v>
      </c>
      <c r="K94" s="5">
        <v>88.9</v>
      </c>
      <c r="L94" s="5">
        <v>10</v>
      </c>
      <c r="M94" s="5">
        <v>770</v>
      </c>
      <c r="N94" s="5">
        <v>30</v>
      </c>
      <c r="O94" s="5">
        <v>0</v>
      </c>
      <c r="P94" s="5">
        <v>0.49</v>
      </c>
      <c r="Q94" s="5" t="s">
        <v>23</v>
      </c>
      <c r="R94" s="5">
        <v>63.996322940821038</v>
      </c>
      <c r="S94">
        <v>14.659685863874348</v>
      </c>
      <c r="T94">
        <v>28.01047120418848</v>
      </c>
      <c r="U94">
        <v>49.214659685863872</v>
      </c>
      <c r="V94">
        <v>8.1151832460732987</v>
      </c>
      <c r="W94" s="5">
        <v>3.5551393980813324</v>
      </c>
      <c r="X94" s="5">
        <v>4.25</v>
      </c>
      <c r="Y94" s="5">
        <v>1.7885</v>
      </c>
      <c r="Z94" s="6"/>
      <c r="AA94" s="5">
        <v>55.148477294869096</v>
      </c>
      <c r="AB94" s="5">
        <v>86</v>
      </c>
    </row>
    <row r="95" spans="1:28" x14ac:dyDescent="0.2">
      <c r="A95" s="3">
        <v>94</v>
      </c>
      <c r="B95" s="4" t="s">
        <v>32</v>
      </c>
      <c r="C95" s="5">
        <v>13.837646354838711</v>
      </c>
      <c r="D95" s="5">
        <v>37.702705239801986</v>
      </c>
      <c r="E95" s="5">
        <v>4.5760539341184465</v>
      </c>
      <c r="F95" s="5">
        <v>9.9479433350400881E-2</v>
      </c>
      <c r="G95" s="5">
        <v>0.39791773340160425</v>
      </c>
      <c r="H95" s="5">
        <v>31.236542072025919</v>
      </c>
      <c r="I95" s="5">
        <v>1.5873015873015874</v>
      </c>
      <c r="J95" s="5">
        <v>24.4</v>
      </c>
      <c r="K95" s="5">
        <v>86.63000000000001</v>
      </c>
      <c r="L95" s="5">
        <v>11.9</v>
      </c>
      <c r="M95" s="5">
        <v>725</v>
      </c>
      <c r="N95" s="5">
        <v>30</v>
      </c>
      <c r="O95" s="5">
        <v>0</v>
      </c>
      <c r="P95" s="5">
        <v>0.3</v>
      </c>
      <c r="Q95" s="5" t="s">
        <v>23</v>
      </c>
      <c r="R95" s="5">
        <v>59.300496119415357</v>
      </c>
      <c r="S95">
        <v>14.583333333333332</v>
      </c>
      <c r="T95">
        <v>34.635416666666671</v>
      </c>
      <c r="U95">
        <v>42.708333333333336</v>
      </c>
      <c r="V95">
        <v>8.0729166666666679</v>
      </c>
      <c r="W95" s="5">
        <v>4.3936430153227617</v>
      </c>
      <c r="X95" s="5">
        <v>17.25</v>
      </c>
      <c r="Y95" s="5">
        <v>1.3986000000000001</v>
      </c>
      <c r="Z95" s="6"/>
      <c r="AA95" s="5">
        <v>44.407473378459805</v>
      </c>
      <c r="AB95" s="5">
        <v>67</v>
      </c>
    </row>
    <row r="96" spans="1:28" x14ac:dyDescent="0.2">
      <c r="A96" s="3">
        <v>95</v>
      </c>
      <c r="B96" s="4" t="s">
        <v>32</v>
      </c>
      <c r="C96" s="5">
        <v>13.86244561904762</v>
      </c>
      <c r="D96" s="5">
        <v>37.702705239801986</v>
      </c>
      <c r="E96" s="5">
        <v>4.5760539341184465</v>
      </c>
      <c r="F96" s="5">
        <v>9.9479433350400881E-2</v>
      </c>
      <c r="G96" s="5">
        <v>0.39791773340160425</v>
      </c>
      <c r="H96" s="5">
        <v>31.236542072025919</v>
      </c>
      <c r="I96" s="5">
        <v>1.5873015873015874</v>
      </c>
      <c r="J96" s="5">
        <v>24.4</v>
      </c>
      <c r="K96" s="5">
        <v>86.63000000000001</v>
      </c>
      <c r="L96" s="5">
        <v>11.9</v>
      </c>
      <c r="M96" s="5">
        <v>770</v>
      </c>
      <c r="N96" s="5">
        <v>30</v>
      </c>
      <c r="O96" s="5">
        <v>0</v>
      </c>
      <c r="P96" s="5">
        <v>0.38</v>
      </c>
      <c r="Q96" s="5" t="s">
        <v>23</v>
      </c>
      <c r="R96" s="5">
        <v>61.353577975241201</v>
      </c>
      <c r="S96">
        <v>15.104166666666666</v>
      </c>
      <c r="T96">
        <v>33.59375</v>
      </c>
      <c r="U96">
        <v>42.968749999999993</v>
      </c>
      <c r="V96">
        <v>8.3333333333333321</v>
      </c>
      <c r="W96" s="5">
        <v>4.2454069488849218</v>
      </c>
      <c r="X96" s="5">
        <v>9.5</v>
      </c>
      <c r="Y96" s="5">
        <v>1.7387999999999999</v>
      </c>
      <c r="Z96" s="6"/>
      <c r="AA96" s="5">
        <v>53.251163651657706</v>
      </c>
      <c r="AB96" s="5">
        <v>80</v>
      </c>
    </row>
    <row r="97" spans="1:28" x14ac:dyDescent="0.2">
      <c r="A97" s="3">
        <v>96</v>
      </c>
      <c r="B97" s="4" t="s">
        <v>32</v>
      </c>
      <c r="C97" s="5">
        <v>13.86244561904762</v>
      </c>
      <c r="D97" s="5">
        <v>37.702705239801986</v>
      </c>
      <c r="E97" s="5">
        <v>4.5760539341184465</v>
      </c>
      <c r="F97" s="5">
        <v>9.9479433350400881E-2</v>
      </c>
      <c r="G97" s="5">
        <v>0.39791773340160425</v>
      </c>
      <c r="H97" s="5">
        <v>31.236542072025919</v>
      </c>
      <c r="I97" s="5">
        <v>1.5873015873015874</v>
      </c>
      <c r="J97" s="5">
        <v>24.4</v>
      </c>
      <c r="K97" s="5">
        <v>86.63000000000001</v>
      </c>
      <c r="L97" s="5">
        <v>11.9</v>
      </c>
      <c r="M97" s="5">
        <v>785</v>
      </c>
      <c r="N97" s="5">
        <v>30</v>
      </c>
      <c r="O97" s="5">
        <v>0</v>
      </c>
      <c r="P97" s="5">
        <v>0.43</v>
      </c>
      <c r="Q97" s="5" t="s">
        <v>23</v>
      </c>
      <c r="R97" s="5">
        <v>61.268941475296891</v>
      </c>
      <c r="S97">
        <v>16.062176165803109</v>
      </c>
      <c r="T97">
        <v>33.160621761658028</v>
      </c>
      <c r="U97">
        <v>42.487046632124354</v>
      </c>
      <c r="V97">
        <v>8.290155440414507</v>
      </c>
      <c r="W97" s="5">
        <v>4.088192808111101</v>
      </c>
      <c r="X97" s="5">
        <v>6.5</v>
      </c>
      <c r="Y97" s="5">
        <v>1.9656000000000002</v>
      </c>
      <c r="Z97" s="6"/>
      <c r="AA97" s="5">
        <v>57.967778590104622</v>
      </c>
      <c r="AB97" s="5">
        <v>88</v>
      </c>
    </row>
    <row r="98" spans="1:28" x14ac:dyDescent="0.2">
      <c r="A98" s="3">
        <v>97</v>
      </c>
      <c r="B98" s="4" t="s">
        <v>32</v>
      </c>
      <c r="C98" s="5">
        <v>13.86244561904762</v>
      </c>
      <c r="D98" s="5">
        <v>37.702705239801986</v>
      </c>
      <c r="E98" s="5">
        <v>4.5760539341184465</v>
      </c>
      <c r="F98" s="5">
        <v>9.9479433350400881E-2</v>
      </c>
      <c r="G98" s="5">
        <v>0.39791773340160425</v>
      </c>
      <c r="H98" s="5">
        <v>31.236542072025919</v>
      </c>
      <c r="I98" s="5">
        <v>1.5873015873015874</v>
      </c>
      <c r="J98" s="5">
        <v>24.4</v>
      </c>
      <c r="K98" s="5">
        <v>86.63000000000001</v>
      </c>
      <c r="L98" s="5">
        <v>11.9</v>
      </c>
      <c r="M98" s="5">
        <v>810</v>
      </c>
      <c r="N98" s="5">
        <v>30</v>
      </c>
      <c r="O98" s="5">
        <v>0</v>
      </c>
      <c r="P98" s="5">
        <v>0.46</v>
      </c>
      <c r="Q98" s="5" t="s">
        <v>23</v>
      </c>
      <c r="R98" s="5">
        <v>62.834065356966597</v>
      </c>
      <c r="S98">
        <v>14.948453608247419</v>
      </c>
      <c r="T98">
        <v>33.762886597938149</v>
      </c>
      <c r="U98">
        <v>43.041237113402062</v>
      </c>
      <c r="V98">
        <v>8.2474226804123703</v>
      </c>
      <c r="W98" s="5">
        <v>3.9000794452930325</v>
      </c>
      <c r="X98" s="5">
        <v>4.25</v>
      </c>
      <c r="Y98" s="5">
        <v>2.0411999999999999</v>
      </c>
      <c r="Z98" s="6"/>
      <c r="AA98" s="5">
        <v>57.427400492692172</v>
      </c>
      <c r="AB98" s="5">
        <v>92</v>
      </c>
    </row>
    <row r="99" spans="1:28" x14ac:dyDescent="0.2">
      <c r="A99" s="3">
        <v>98</v>
      </c>
      <c r="B99" s="4" t="s">
        <v>33</v>
      </c>
      <c r="C99" s="5">
        <v>16.185036945169713</v>
      </c>
      <c r="D99" s="5">
        <v>42.153108118034403</v>
      </c>
      <c r="E99" s="5">
        <v>4.970885391277637</v>
      </c>
      <c r="F99" s="5">
        <v>0.19883541565110563</v>
      </c>
      <c r="G99" s="5">
        <v>0.69592395477886948</v>
      </c>
      <c r="H99" s="5">
        <v>28.135211314631459</v>
      </c>
      <c r="I99" s="5">
        <v>2.0460358056265986</v>
      </c>
      <c r="J99" s="5">
        <v>21.8</v>
      </c>
      <c r="K99" s="5">
        <v>84.360000000000014</v>
      </c>
      <c r="L99" s="5">
        <v>13.8</v>
      </c>
      <c r="M99" s="5">
        <v>745</v>
      </c>
      <c r="N99" s="5">
        <v>30</v>
      </c>
      <c r="O99" s="5">
        <v>0</v>
      </c>
      <c r="P99" s="5">
        <v>0.3</v>
      </c>
      <c r="Q99" s="5" t="s">
        <v>23</v>
      </c>
      <c r="R99" s="5">
        <v>60.43349062383475</v>
      </c>
      <c r="S99">
        <v>14.136125654450263</v>
      </c>
      <c r="T99">
        <v>36.125654450261784</v>
      </c>
      <c r="U99">
        <v>40.31413612565445</v>
      </c>
      <c r="V99">
        <v>9.4240837696335085</v>
      </c>
      <c r="W99" s="5">
        <v>4.5998341359055575</v>
      </c>
      <c r="X99" s="5">
        <v>15</v>
      </c>
      <c r="Y99" s="5">
        <v>1.7204000000000002</v>
      </c>
      <c r="Z99" s="6"/>
      <c r="AA99" s="5">
        <v>48.894263721613903</v>
      </c>
      <c r="AB99" s="5">
        <v>74</v>
      </c>
    </row>
    <row r="100" spans="1:28" x14ac:dyDescent="0.2">
      <c r="A100" s="3">
        <v>99</v>
      </c>
      <c r="B100" s="4" t="s">
        <v>33</v>
      </c>
      <c r="C100" s="5">
        <v>16.218079667519198</v>
      </c>
      <c r="D100" s="5">
        <v>42.153108118034403</v>
      </c>
      <c r="E100" s="5">
        <v>4.970885391277637</v>
      </c>
      <c r="F100" s="5">
        <v>0.19883541565110563</v>
      </c>
      <c r="G100" s="5">
        <v>0.69592395477886948</v>
      </c>
      <c r="H100" s="5">
        <v>28.135211314631459</v>
      </c>
      <c r="I100" s="5">
        <v>2.0460358056265986</v>
      </c>
      <c r="J100" s="5">
        <v>21.8</v>
      </c>
      <c r="K100" s="5">
        <v>84.360000000000014</v>
      </c>
      <c r="L100" s="5">
        <v>13.8</v>
      </c>
      <c r="M100" s="5">
        <v>770</v>
      </c>
      <c r="N100" s="5">
        <v>30</v>
      </c>
      <c r="O100" s="5">
        <v>0</v>
      </c>
      <c r="P100" s="5">
        <v>0.34</v>
      </c>
      <c r="Q100" s="5" t="s">
        <v>23</v>
      </c>
      <c r="R100" s="5">
        <v>60.51539605903897</v>
      </c>
      <c r="S100">
        <v>15.789473684210527</v>
      </c>
      <c r="T100">
        <v>35.263157894736842</v>
      </c>
      <c r="U100">
        <v>40</v>
      </c>
      <c r="V100">
        <v>8.9473684210526319</v>
      </c>
      <c r="W100" s="5">
        <v>4.4882433199243632</v>
      </c>
      <c r="X100" s="5">
        <v>12</v>
      </c>
      <c r="Y100" s="5">
        <v>1.8767999999999998</v>
      </c>
      <c r="Z100" s="6"/>
      <c r="AA100" s="5">
        <v>51.939164411088086</v>
      </c>
      <c r="AB100" s="5">
        <v>80</v>
      </c>
    </row>
    <row r="101" spans="1:28" x14ac:dyDescent="0.2">
      <c r="A101" s="3">
        <v>100</v>
      </c>
      <c r="B101" s="4" t="s">
        <v>33</v>
      </c>
      <c r="C101" s="5">
        <v>16.218079667519184</v>
      </c>
      <c r="D101" s="5">
        <v>42.153108118034403</v>
      </c>
      <c r="E101" s="5">
        <v>4.970885391277637</v>
      </c>
      <c r="F101" s="5">
        <v>0.19883541565110563</v>
      </c>
      <c r="G101" s="5">
        <v>0.69592395477886948</v>
      </c>
      <c r="H101" s="5">
        <v>28.135211314631459</v>
      </c>
      <c r="I101" s="5">
        <v>2.0460358056265986</v>
      </c>
      <c r="J101" s="5">
        <v>21.8</v>
      </c>
      <c r="K101" s="5">
        <v>84.360000000000014</v>
      </c>
      <c r="L101" s="5">
        <v>13.8</v>
      </c>
      <c r="M101" s="5">
        <v>775</v>
      </c>
      <c r="N101" s="5">
        <v>30</v>
      </c>
      <c r="O101" s="5">
        <v>0</v>
      </c>
      <c r="P101" s="5">
        <v>0.38</v>
      </c>
      <c r="Q101" s="5" t="s">
        <v>23</v>
      </c>
      <c r="R101" s="5">
        <v>61.55176883001009</v>
      </c>
      <c r="S101">
        <v>16.666666666666664</v>
      </c>
      <c r="T101">
        <v>34.375</v>
      </c>
      <c r="U101">
        <v>39.84375</v>
      </c>
      <c r="V101">
        <v>9.1145833333333321</v>
      </c>
      <c r="W101" s="5">
        <v>4.38505495349282</v>
      </c>
      <c r="X101" s="5">
        <v>8.5</v>
      </c>
      <c r="Y101" s="5">
        <v>2.1114000000000002</v>
      </c>
      <c r="Z101" s="6"/>
      <c r="AA101" s="5">
        <v>57.088170847670973</v>
      </c>
      <c r="AB101" s="5">
        <v>86</v>
      </c>
    </row>
    <row r="102" spans="1:28" x14ac:dyDescent="0.2">
      <c r="A102" s="3">
        <v>101</v>
      </c>
      <c r="B102" s="4" t="s">
        <v>33</v>
      </c>
      <c r="C102" s="5">
        <v>16.218079667519184</v>
      </c>
      <c r="D102" s="5">
        <v>42.153108118034403</v>
      </c>
      <c r="E102" s="5">
        <v>4.970885391277637</v>
      </c>
      <c r="F102" s="5">
        <v>0.19883541565110563</v>
      </c>
      <c r="G102" s="5">
        <v>0.69592395477886948</v>
      </c>
      <c r="H102" s="5">
        <v>28.135211314631459</v>
      </c>
      <c r="I102" s="5">
        <v>2.0460358056265986</v>
      </c>
      <c r="J102" s="5">
        <v>21.8</v>
      </c>
      <c r="K102" s="5">
        <v>84.360000000000014</v>
      </c>
      <c r="L102" s="5">
        <v>13.8</v>
      </c>
      <c r="M102" s="5">
        <v>790</v>
      </c>
      <c r="N102" s="5">
        <v>30</v>
      </c>
      <c r="O102" s="5">
        <v>0</v>
      </c>
      <c r="P102" s="5">
        <v>0.4</v>
      </c>
      <c r="Q102" s="5" t="s">
        <v>23</v>
      </c>
      <c r="R102" s="5">
        <v>61.701239292225488</v>
      </c>
      <c r="S102">
        <v>16.145833333333336</v>
      </c>
      <c r="T102">
        <v>34.374999999999993</v>
      </c>
      <c r="U102">
        <v>40.364583333333329</v>
      </c>
      <c r="V102">
        <v>9.1145833333333321</v>
      </c>
      <c r="W102" s="5">
        <v>4.2889635164928457</v>
      </c>
      <c r="X102" s="5">
        <v>7</v>
      </c>
      <c r="Y102" s="5">
        <v>2.1505000000000001</v>
      </c>
      <c r="Z102" s="6"/>
      <c r="AA102" s="5">
        <v>56.871197030127391</v>
      </c>
      <c r="AB102" s="5">
        <v>88</v>
      </c>
    </row>
    <row r="103" spans="1:28" x14ac:dyDescent="0.2">
      <c r="A103" s="3">
        <v>102</v>
      </c>
      <c r="B103" s="4" t="s">
        <v>33</v>
      </c>
      <c r="C103" s="5">
        <v>16.218079667519184</v>
      </c>
      <c r="D103" s="5">
        <v>42.153108118034403</v>
      </c>
      <c r="E103" s="5">
        <v>4.970885391277637</v>
      </c>
      <c r="F103" s="5">
        <v>0.19883541565110563</v>
      </c>
      <c r="G103" s="5">
        <v>0.69592395477886948</v>
      </c>
      <c r="H103" s="5">
        <v>28.135211314631459</v>
      </c>
      <c r="I103" s="5">
        <v>2.0460358056265986</v>
      </c>
      <c r="J103" s="5">
        <v>21.8</v>
      </c>
      <c r="K103" s="5">
        <v>84.360000000000014</v>
      </c>
      <c r="L103" s="5">
        <v>13.8</v>
      </c>
      <c r="M103" s="5">
        <v>825</v>
      </c>
      <c r="N103" s="5">
        <v>30</v>
      </c>
      <c r="O103" s="5">
        <v>0</v>
      </c>
      <c r="P103" s="5">
        <v>0.45</v>
      </c>
      <c r="Q103" s="5" t="s">
        <v>23</v>
      </c>
      <c r="R103" s="5">
        <v>62.547163474567036</v>
      </c>
      <c r="S103">
        <v>15.064935064935064</v>
      </c>
      <c r="T103">
        <v>34.545454545454547</v>
      </c>
      <c r="U103">
        <v>41.298701298701296</v>
      </c>
      <c r="V103">
        <v>9.0909090909090882</v>
      </c>
      <c r="W103" s="5">
        <v>4.0985470512082012</v>
      </c>
      <c r="X103" s="5">
        <v>3</v>
      </c>
      <c r="Y103" s="5">
        <v>2.3460000000000001</v>
      </c>
      <c r="Z103" s="6"/>
      <c r="AA103" s="5">
        <v>59.286867368097219</v>
      </c>
      <c r="AB103" s="5">
        <v>95</v>
      </c>
    </row>
    <row r="104" spans="1:28" x14ac:dyDescent="0.2">
      <c r="A104" s="3">
        <v>103</v>
      </c>
      <c r="B104" s="4" t="s">
        <v>34</v>
      </c>
      <c r="C104" s="5">
        <v>20.004999999999999</v>
      </c>
      <c r="D104" s="5">
        <v>47.056884422110549</v>
      </c>
      <c r="E104" s="5">
        <v>5.2285427135678386</v>
      </c>
      <c r="F104" s="5">
        <v>0.11204020100502511</v>
      </c>
      <c r="G104" s="5">
        <v>1.5872361809045228E-2</v>
      </c>
      <c r="H104" s="5">
        <v>40.521206030150751</v>
      </c>
      <c r="I104" s="5">
        <v>0.5</v>
      </c>
      <c r="J104" s="5">
        <v>6.6</v>
      </c>
      <c r="K104" s="5">
        <v>82.2</v>
      </c>
      <c r="L104" s="5"/>
      <c r="M104" s="5">
        <v>594</v>
      </c>
      <c r="N104" s="5">
        <v>255</v>
      </c>
      <c r="O104" s="5">
        <v>0</v>
      </c>
      <c r="P104" s="5">
        <v>0.49</v>
      </c>
      <c r="Q104" s="5" t="s">
        <v>23</v>
      </c>
      <c r="R104" s="5">
        <v>56.3</v>
      </c>
      <c r="S104">
        <v>27.231121281464532</v>
      </c>
      <c r="T104">
        <v>45.08009153318077</v>
      </c>
      <c r="U104">
        <v>22.883295194508012</v>
      </c>
      <c r="V104">
        <v>4.8054919908466829</v>
      </c>
      <c r="W104" s="5">
        <v>4.5</v>
      </c>
      <c r="X104" s="5">
        <v>26.77</v>
      </c>
      <c r="Y104" s="5">
        <v>2.06</v>
      </c>
      <c r="Z104" s="5">
        <v>242.25</v>
      </c>
      <c r="AA104" s="5">
        <v>45.1</v>
      </c>
      <c r="AB104" s="5">
        <v>67.3</v>
      </c>
    </row>
    <row r="105" spans="1:28" x14ac:dyDescent="0.2">
      <c r="A105" s="3">
        <v>104</v>
      </c>
      <c r="B105" s="4" t="s">
        <v>34</v>
      </c>
      <c r="C105" s="5">
        <v>20.004999999999999</v>
      </c>
      <c r="D105" s="5">
        <v>46.043819095477382</v>
      </c>
      <c r="E105" s="5">
        <v>5.1159798994974874</v>
      </c>
      <c r="F105" s="5">
        <v>0.10962814070351758</v>
      </c>
      <c r="G105" s="5">
        <v>1.553065326633166E-2</v>
      </c>
      <c r="H105" s="5">
        <v>39.64884422110552</v>
      </c>
      <c r="I105" s="5">
        <v>0.5</v>
      </c>
      <c r="J105" s="5">
        <v>8.6</v>
      </c>
      <c r="K105" s="5">
        <v>82.2</v>
      </c>
      <c r="L105" s="5"/>
      <c r="M105" s="5">
        <v>684</v>
      </c>
      <c r="N105" s="5">
        <v>366</v>
      </c>
      <c r="O105" s="5">
        <v>0</v>
      </c>
      <c r="P105" s="5">
        <v>0.48499999999999999</v>
      </c>
      <c r="Q105" s="5" t="s">
        <v>23</v>
      </c>
      <c r="R105" s="5">
        <v>57.700000000000017</v>
      </c>
      <c r="S105">
        <v>24.349881796690312</v>
      </c>
      <c r="T105">
        <v>45.862884160756501</v>
      </c>
      <c r="U105">
        <v>24.349881796690312</v>
      </c>
      <c r="V105">
        <v>5.4373522458628845</v>
      </c>
      <c r="W105" s="5">
        <v>4.4000000000000004</v>
      </c>
      <c r="X105" s="5">
        <v>13.21</v>
      </c>
      <c r="Y105" s="5">
        <v>2.02</v>
      </c>
      <c r="Z105" s="5">
        <v>104.15</v>
      </c>
      <c r="AA105" s="5">
        <v>44.1</v>
      </c>
      <c r="AB105" s="5">
        <v>68.5</v>
      </c>
    </row>
    <row r="106" spans="1:28" x14ac:dyDescent="0.2">
      <c r="A106" s="3">
        <v>105</v>
      </c>
      <c r="B106" s="4" t="s">
        <v>34</v>
      </c>
      <c r="C106" s="5">
        <v>20.004999999999999</v>
      </c>
      <c r="D106" s="5">
        <v>46.195778894472362</v>
      </c>
      <c r="E106" s="5">
        <v>5.1328643216080403</v>
      </c>
      <c r="F106" s="5">
        <v>0.10998994974874371</v>
      </c>
      <c r="G106" s="5">
        <v>1.5581909547738694E-2</v>
      </c>
      <c r="H106" s="5">
        <v>39.779698492462309</v>
      </c>
      <c r="I106" s="5">
        <v>0.5</v>
      </c>
      <c r="J106" s="5">
        <v>8.3000000000000007</v>
      </c>
      <c r="K106" s="5">
        <v>82.2</v>
      </c>
      <c r="L106" s="5"/>
      <c r="M106" s="5">
        <v>625</v>
      </c>
      <c r="N106" s="5">
        <v>336</v>
      </c>
      <c r="O106" s="5">
        <v>0</v>
      </c>
      <c r="P106" s="5">
        <v>0.5</v>
      </c>
      <c r="Q106" s="5" t="s">
        <v>23</v>
      </c>
      <c r="R106" s="5">
        <v>59.20000000000001</v>
      </c>
      <c r="S106">
        <v>26.960784313725494</v>
      </c>
      <c r="T106">
        <v>45.343137254901968</v>
      </c>
      <c r="U106">
        <v>23.284313725490197</v>
      </c>
      <c r="V106">
        <v>4.4117647058823541</v>
      </c>
      <c r="W106" s="5">
        <v>4.2</v>
      </c>
      <c r="X106" s="5">
        <v>9.94</v>
      </c>
      <c r="Y106" s="5">
        <v>2.17</v>
      </c>
      <c r="Z106" s="5">
        <v>48.41</v>
      </c>
      <c r="AA106" s="5">
        <v>44.3</v>
      </c>
      <c r="AB106" s="5">
        <v>68.5</v>
      </c>
    </row>
    <row r="107" spans="1:28" x14ac:dyDescent="0.2">
      <c r="A107" s="3">
        <v>106</v>
      </c>
      <c r="B107" s="4" t="s">
        <v>35</v>
      </c>
      <c r="C107" s="5">
        <v>18.896000000000001</v>
      </c>
      <c r="D107" s="5">
        <v>45.230020283975662</v>
      </c>
      <c r="E107" s="5">
        <v>5.5496957403651113</v>
      </c>
      <c r="F107" s="5">
        <v>0.18498985801217038</v>
      </c>
      <c r="G107" s="5">
        <v>1.6649087221095333E-2</v>
      </c>
      <c r="H107" s="5">
        <v>40.235294117647058</v>
      </c>
      <c r="I107" s="5">
        <v>1.4</v>
      </c>
      <c r="J107" s="5">
        <v>7.4</v>
      </c>
      <c r="K107" s="5">
        <v>82.9</v>
      </c>
      <c r="L107" s="5"/>
      <c r="M107" s="5">
        <v>647</v>
      </c>
      <c r="N107" s="5">
        <v>282</v>
      </c>
      <c r="O107" s="5">
        <v>0</v>
      </c>
      <c r="P107" s="5">
        <v>0.52</v>
      </c>
      <c r="Q107" s="5" t="s">
        <v>23</v>
      </c>
      <c r="R107" s="5">
        <v>57.999999999999993</v>
      </c>
      <c r="S107">
        <v>21.428571428571427</v>
      </c>
      <c r="T107">
        <v>51.666666666666657</v>
      </c>
      <c r="U107">
        <v>21.666666666666664</v>
      </c>
      <c r="V107">
        <v>5.2380952380952381</v>
      </c>
      <c r="W107" s="5">
        <v>4.5</v>
      </c>
      <c r="X107" s="5">
        <v>22.41</v>
      </c>
      <c r="Y107" s="5">
        <v>2.13</v>
      </c>
      <c r="Z107" s="5">
        <v>93.06</v>
      </c>
      <c r="AA107" s="5">
        <v>52.5</v>
      </c>
      <c r="AB107" s="5">
        <v>79.5</v>
      </c>
    </row>
    <row r="108" spans="1:28" x14ac:dyDescent="0.2">
      <c r="A108" s="3">
        <v>107</v>
      </c>
      <c r="B108" s="4" t="s">
        <v>35</v>
      </c>
      <c r="C108" s="5">
        <v>18.896000000000001</v>
      </c>
      <c r="D108" s="5">
        <v>45.577180527383369</v>
      </c>
      <c r="E108" s="5">
        <v>5.5922920892494936</v>
      </c>
      <c r="F108" s="5">
        <v>0.18640973630831645</v>
      </c>
      <c r="G108" s="5">
        <v>1.6776876267748479E-2</v>
      </c>
      <c r="H108" s="5">
        <v>40.544117647058826</v>
      </c>
      <c r="I108" s="5">
        <v>1.4</v>
      </c>
      <c r="J108" s="5">
        <v>6.7</v>
      </c>
      <c r="K108" s="5">
        <v>82.9</v>
      </c>
      <c r="L108" s="5"/>
      <c r="M108" s="5">
        <v>600</v>
      </c>
      <c r="N108" s="5">
        <v>250</v>
      </c>
      <c r="O108" s="5">
        <v>0</v>
      </c>
      <c r="P108" s="5">
        <v>0.56999999999999995</v>
      </c>
      <c r="Q108" s="5" t="s">
        <v>23</v>
      </c>
      <c r="R108" s="5">
        <v>55.000000000000007</v>
      </c>
      <c r="S108">
        <v>24.666666666666664</v>
      </c>
      <c r="T108">
        <v>45.111111111111114</v>
      </c>
      <c r="U108">
        <v>24.666666666666664</v>
      </c>
      <c r="V108">
        <v>5.5555555555555554</v>
      </c>
      <c r="W108" s="5">
        <v>4.5999999999999996</v>
      </c>
      <c r="X108" s="5">
        <v>39.32</v>
      </c>
      <c r="Y108" s="5">
        <v>2.0499999999999998</v>
      </c>
      <c r="Z108" s="5">
        <v>82.99</v>
      </c>
      <c r="AA108" s="5">
        <v>50.9</v>
      </c>
      <c r="AB108" s="5">
        <v>76.5</v>
      </c>
    </row>
    <row r="109" spans="1:28" x14ac:dyDescent="0.2">
      <c r="A109" s="3">
        <v>108</v>
      </c>
      <c r="B109" s="4" t="s">
        <v>35</v>
      </c>
      <c r="C109" s="5">
        <v>18.896000000000001</v>
      </c>
      <c r="D109" s="5">
        <v>45.577180527383369</v>
      </c>
      <c r="E109" s="5">
        <v>5.5922920892494936</v>
      </c>
      <c r="F109" s="5">
        <v>0.18640973630831645</v>
      </c>
      <c r="G109" s="5">
        <v>1.6776876267748479E-2</v>
      </c>
      <c r="H109" s="5">
        <v>40.544117647058826</v>
      </c>
      <c r="I109" s="5">
        <v>1.4</v>
      </c>
      <c r="J109" s="5">
        <v>6.7</v>
      </c>
      <c r="K109" s="5">
        <v>82.9</v>
      </c>
      <c r="L109" s="5"/>
      <c r="M109" s="5">
        <v>575</v>
      </c>
      <c r="N109" s="5">
        <v>347</v>
      </c>
      <c r="O109" s="5">
        <v>0</v>
      </c>
      <c r="P109" s="5">
        <v>0.51500000000000001</v>
      </c>
      <c r="Q109" s="5" t="s">
        <v>23</v>
      </c>
      <c r="R109" s="5">
        <v>63.769999999999996</v>
      </c>
      <c r="S109">
        <v>23.461219983439136</v>
      </c>
      <c r="T109">
        <v>45.266353850400222</v>
      </c>
      <c r="U109">
        <v>26.856196522219157</v>
      </c>
      <c r="V109">
        <v>4.4162296439414854</v>
      </c>
      <c r="W109" s="5">
        <v>4.3</v>
      </c>
      <c r="X109" s="5">
        <v>30.91</v>
      </c>
      <c r="Y109" s="5">
        <v>2.3199999999999998</v>
      </c>
      <c r="Z109" s="5">
        <v>220.34</v>
      </c>
      <c r="AA109" s="5">
        <v>50</v>
      </c>
      <c r="AB109" s="5">
        <v>72.3</v>
      </c>
    </row>
    <row r="110" spans="1:28" x14ac:dyDescent="0.2">
      <c r="A110" s="3">
        <v>109</v>
      </c>
      <c r="B110" s="4" t="s">
        <v>36</v>
      </c>
      <c r="C110" s="5">
        <v>20.271000000000001</v>
      </c>
      <c r="D110" s="5">
        <v>47.483383685800604</v>
      </c>
      <c r="E110" s="5">
        <v>5.6193353474320231</v>
      </c>
      <c r="F110" s="5">
        <v>0.13111782477341391</v>
      </c>
      <c r="G110" s="5">
        <v>1.0302114803625376E-2</v>
      </c>
      <c r="H110" s="5">
        <v>39.709969788519636</v>
      </c>
      <c r="I110" s="5">
        <v>0.7</v>
      </c>
      <c r="J110" s="5">
        <v>6.3</v>
      </c>
      <c r="K110" s="5">
        <v>82.6</v>
      </c>
      <c r="L110" s="5"/>
      <c r="M110" s="5">
        <v>565</v>
      </c>
      <c r="N110" s="5">
        <v>250</v>
      </c>
      <c r="O110" s="5">
        <v>0</v>
      </c>
      <c r="P110" s="5">
        <v>0.48499999999999999</v>
      </c>
      <c r="Q110" s="5" t="s">
        <v>23</v>
      </c>
      <c r="R110" s="5">
        <v>61.4</v>
      </c>
      <c r="S110">
        <v>23.834196891191709</v>
      </c>
      <c r="T110">
        <v>47.409326424870471</v>
      </c>
      <c r="U110">
        <v>24.352331606217618</v>
      </c>
      <c r="V110">
        <v>4.4041450777202078</v>
      </c>
      <c r="W110" s="5">
        <v>3.9</v>
      </c>
      <c r="X110" s="5">
        <v>34.67</v>
      </c>
      <c r="Y110" s="5">
        <v>1.89</v>
      </c>
      <c r="Z110" s="5">
        <v>102.74</v>
      </c>
      <c r="AA110" s="5">
        <v>34.9</v>
      </c>
      <c r="AB110" s="5">
        <v>56</v>
      </c>
    </row>
    <row r="111" spans="1:28" x14ac:dyDescent="0.2">
      <c r="A111" s="3">
        <v>110</v>
      </c>
      <c r="B111" s="4" t="s">
        <v>36</v>
      </c>
      <c r="C111" s="5">
        <v>20.271000000000001</v>
      </c>
      <c r="D111" s="5">
        <v>47.330211480362543</v>
      </c>
      <c r="E111" s="5">
        <v>5.6012084592145008</v>
      </c>
      <c r="F111" s="5">
        <v>0.13069486404833838</v>
      </c>
      <c r="G111" s="5">
        <v>1.0268882175226585E-2</v>
      </c>
      <c r="H111" s="5">
        <v>39.581873111782478</v>
      </c>
      <c r="I111" s="5">
        <v>0.7</v>
      </c>
      <c r="J111" s="5">
        <v>6.6</v>
      </c>
      <c r="K111" s="5">
        <v>82.6</v>
      </c>
      <c r="L111" s="5"/>
      <c r="M111" s="5">
        <v>602</v>
      </c>
      <c r="N111" s="5">
        <v>283</v>
      </c>
      <c r="O111" s="5">
        <v>0</v>
      </c>
      <c r="P111" s="5">
        <v>0.46</v>
      </c>
      <c r="Q111" s="5" t="s">
        <v>23</v>
      </c>
      <c r="R111" s="5">
        <v>59.699999999999996</v>
      </c>
      <c r="S111">
        <v>24.813895781637719</v>
      </c>
      <c r="T111">
        <v>51.116625310173688</v>
      </c>
      <c r="U111">
        <v>19.602977667493796</v>
      </c>
      <c r="V111">
        <v>4.4665012406947886</v>
      </c>
      <c r="W111" s="5">
        <v>4.3</v>
      </c>
      <c r="X111" s="5">
        <v>60</v>
      </c>
      <c r="Y111" s="5">
        <v>1.81</v>
      </c>
      <c r="Z111" s="5">
        <v>140.07</v>
      </c>
      <c r="AA111" s="5">
        <v>38.6</v>
      </c>
      <c r="AB111" s="5">
        <v>58.2</v>
      </c>
    </row>
    <row r="112" spans="1:28" x14ac:dyDescent="0.2">
      <c r="A112" s="3">
        <v>111</v>
      </c>
      <c r="B112" s="4" t="s">
        <v>36</v>
      </c>
      <c r="C112" s="5">
        <v>20.271000000000001</v>
      </c>
      <c r="D112" s="5">
        <v>45.083685800604229</v>
      </c>
      <c r="E112" s="5">
        <v>5.3353474320241689</v>
      </c>
      <c r="F112" s="5">
        <v>0.12449144008056395</v>
      </c>
      <c r="G112" s="5">
        <v>9.7814702920443093E-3</v>
      </c>
      <c r="H112" s="5">
        <v>37.703121852970796</v>
      </c>
      <c r="I112" s="5">
        <v>0.7</v>
      </c>
      <c r="J112" s="5">
        <v>11</v>
      </c>
      <c r="K112" s="5">
        <v>82.6</v>
      </c>
      <c r="L112" s="5"/>
      <c r="M112" s="5">
        <v>553</v>
      </c>
      <c r="N112" s="5">
        <v>241</v>
      </c>
      <c r="O112" s="5">
        <v>0</v>
      </c>
      <c r="P112" s="5">
        <v>0.42499999999999999</v>
      </c>
      <c r="Q112" s="5" t="s">
        <v>23</v>
      </c>
      <c r="R112" s="5">
        <v>60.9</v>
      </c>
      <c r="S112">
        <v>21.483375959079286</v>
      </c>
      <c r="T112">
        <v>52.429667519181592</v>
      </c>
      <c r="U112">
        <v>21.994884910485936</v>
      </c>
      <c r="V112">
        <v>4.0920716112531972</v>
      </c>
      <c r="W112" s="5">
        <v>4</v>
      </c>
      <c r="X112" s="5">
        <v>28.88</v>
      </c>
      <c r="Y112" s="5">
        <v>1.67</v>
      </c>
      <c r="Z112" s="5">
        <v>201.72</v>
      </c>
      <c r="AA112" s="5">
        <v>32.799999999999997</v>
      </c>
      <c r="AB112" s="5">
        <v>70</v>
      </c>
    </row>
    <row r="113" spans="1:28" x14ac:dyDescent="0.2">
      <c r="A113" s="3">
        <v>112</v>
      </c>
      <c r="B113" s="4" t="s">
        <v>37</v>
      </c>
      <c r="C113" s="5">
        <v>19.672999999999998</v>
      </c>
      <c r="D113" s="5">
        <v>44.514833501513621</v>
      </c>
      <c r="E113" s="5">
        <v>5.4066599394550963</v>
      </c>
      <c r="F113" s="5">
        <v>0.19824419778002017</v>
      </c>
      <c r="G113" s="5">
        <v>1.7121089808274471E-2</v>
      </c>
      <c r="H113" s="5">
        <v>39.198284561049441</v>
      </c>
      <c r="I113" s="5">
        <v>0.9</v>
      </c>
      <c r="J113" s="5">
        <v>9.8000000000000007</v>
      </c>
      <c r="K113" s="5">
        <v>83.9</v>
      </c>
      <c r="L113" s="5"/>
      <c r="M113" s="5">
        <v>711</v>
      </c>
      <c r="N113" s="5">
        <v>403</v>
      </c>
      <c r="O113" s="5">
        <v>0</v>
      </c>
      <c r="P113" s="5">
        <v>0.52500000000000002</v>
      </c>
      <c r="Q113" s="5" t="s">
        <v>23</v>
      </c>
      <c r="R113" s="5">
        <v>57.2</v>
      </c>
      <c r="S113">
        <v>33.177570093457945</v>
      </c>
      <c r="T113">
        <v>44.392523364485989</v>
      </c>
      <c r="U113">
        <v>20.560747663551403</v>
      </c>
      <c r="V113">
        <v>1.8691588785046731</v>
      </c>
      <c r="W113" s="5">
        <v>4.2</v>
      </c>
      <c r="X113" s="5">
        <v>11.75</v>
      </c>
      <c r="Y113" s="5">
        <v>2.2999999999999998</v>
      </c>
      <c r="Z113" s="5">
        <v>63.41</v>
      </c>
      <c r="AA113" s="5">
        <v>49.3</v>
      </c>
      <c r="AB113" s="5">
        <v>71.599999999999994</v>
      </c>
    </row>
    <row r="114" spans="1:28" x14ac:dyDescent="0.2">
      <c r="A114" s="3">
        <v>113</v>
      </c>
      <c r="B114" s="4" t="s">
        <v>37</v>
      </c>
      <c r="C114" s="5">
        <v>19.672999999999998</v>
      </c>
      <c r="D114" s="5">
        <v>44.415136226034306</v>
      </c>
      <c r="E114" s="5">
        <v>5.394550958627649</v>
      </c>
      <c r="F114" s="5">
        <v>0.19780020181634711</v>
      </c>
      <c r="G114" s="5">
        <v>1.7082744702320886E-2</v>
      </c>
      <c r="H114" s="5">
        <v>39.110494450050453</v>
      </c>
      <c r="I114" s="5">
        <v>0.9</v>
      </c>
      <c r="J114" s="5">
        <v>10</v>
      </c>
      <c r="K114" s="5">
        <v>83.9</v>
      </c>
      <c r="L114" s="5"/>
      <c r="M114" s="5">
        <v>620</v>
      </c>
      <c r="N114" s="5">
        <v>297</v>
      </c>
      <c r="O114" s="5">
        <v>0</v>
      </c>
      <c r="P114" s="5">
        <v>0.48</v>
      </c>
      <c r="Q114" s="5" t="s">
        <v>23</v>
      </c>
      <c r="R114" s="5">
        <v>60.79999999999999</v>
      </c>
      <c r="S114">
        <v>27.806122448979593</v>
      </c>
      <c r="T114">
        <v>49.744897959183668</v>
      </c>
      <c r="U114">
        <v>20.153061224489793</v>
      </c>
      <c r="V114">
        <v>2.295918367346939</v>
      </c>
      <c r="W114" s="5">
        <v>3.9</v>
      </c>
      <c r="X114" s="5">
        <v>22.38</v>
      </c>
      <c r="Y114" s="5">
        <v>1.91</v>
      </c>
      <c r="Z114" s="5">
        <v>175.43</v>
      </c>
      <c r="AA114" s="5">
        <v>39</v>
      </c>
      <c r="AB114" s="5">
        <v>59.2</v>
      </c>
    </row>
    <row r="115" spans="1:28" x14ac:dyDescent="0.2">
      <c r="A115" s="3">
        <v>114</v>
      </c>
      <c r="B115" s="4" t="s">
        <v>37</v>
      </c>
      <c r="C115" s="5">
        <v>19.672999999999998</v>
      </c>
      <c r="D115" s="5">
        <v>44.165893037336019</v>
      </c>
      <c r="E115" s="5">
        <v>5.3642785065590317</v>
      </c>
      <c r="F115" s="5">
        <v>0.19669021190716446</v>
      </c>
      <c r="G115" s="5">
        <v>1.6986881937436932E-2</v>
      </c>
      <c r="H115" s="5">
        <v>38.891019172552973</v>
      </c>
      <c r="I115" s="5">
        <v>0.9</v>
      </c>
      <c r="J115" s="5">
        <v>10.5</v>
      </c>
      <c r="K115" s="5">
        <v>83.9</v>
      </c>
      <c r="L115" s="5"/>
      <c r="M115" s="5">
        <v>668</v>
      </c>
      <c r="N115" s="5">
        <v>275</v>
      </c>
      <c r="O115" s="5">
        <v>0</v>
      </c>
      <c r="P115" s="5">
        <v>0.43</v>
      </c>
      <c r="Q115" s="5" t="s">
        <v>23</v>
      </c>
      <c r="R115" s="5">
        <v>54.1</v>
      </c>
      <c r="S115">
        <v>33.333333333333329</v>
      </c>
      <c r="T115">
        <v>42.919389978213509</v>
      </c>
      <c r="U115">
        <v>20.915032679738562</v>
      </c>
      <c r="V115">
        <v>2.8322440087145972</v>
      </c>
      <c r="W115" s="5">
        <v>4.5999999999999996</v>
      </c>
      <c r="X115" s="5">
        <v>9.5500000000000007</v>
      </c>
      <c r="Y115" s="5">
        <v>1.93</v>
      </c>
      <c r="Z115" s="5">
        <v>60.32</v>
      </c>
      <c r="AA115" s="5">
        <v>40.299999999999997</v>
      </c>
      <c r="AB115" s="5">
        <v>68.599999999999994</v>
      </c>
    </row>
    <row r="116" spans="1:28" x14ac:dyDescent="0.2">
      <c r="A116" s="3">
        <v>115</v>
      </c>
      <c r="B116" s="4" t="s">
        <v>38</v>
      </c>
      <c r="C116" s="5">
        <v>19.803000000000001</v>
      </c>
      <c r="D116" s="5">
        <v>46.411550151975682</v>
      </c>
      <c r="E116" s="5">
        <v>5.4875379939209727</v>
      </c>
      <c r="F116" s="5">
        <v>0.49294832826747725</v>
      </c>
      <c r="G116" s="5">
        <v>3.5343465045592708E-2</v>
      </c>
      <c r="H116" s="5">
        <v>39.435866261398175</v>
      </c>
      <c r="I116" s="5">
        <v>1.3</v>
      </c>
      <c r="J116" s="5">
        <v>6.9</v>
      </c>
      <c r="K116" s="5">
        <v>80.7</v>
      </c>
      <c r="L116" s="5"/>
      <c r="M116" s="5">
        <v>609</v>
      </c>
      <c r="N116" s="5">
        <v>325</v>
      </c>
      <c r="O116" s="5">
        <v>0</v>
      </c>
      <c r="P116" s="5">
        <v>0.53</v>
      </c>
      <c r="Q116" s="5" t="s">
        <v>23</v>
      </c>
      <c r="R116" s="5">
        <v>56.699999999999982</v>
      </c>
      <c r="S116">
        <v>29.792147806004621</v>
      </c>
      <c r="T116">
        <v>43.879907621247114</v>
      </c>
      <c r="U116">
        <v>23.556581986143186</v>
      </c>
      <c r="V116">
        <v>2.7713625866050808</v>
      </c>
      <c r="W116" s="5">
        <v>4.2</v>
      </c>
      <c r="X116" s="5">
        <v>30.68</v>
      </c>
      <c r="Y116" s="5">
        <v>2.0299999999999998</v>
      </c>
      <c r="Z116" s="5">
        <v>62.37</v>
      </c>
      <c r="AA116" s="5">
        <v>42.9</v>
      </c>
      <c r="AB116" s="5">
        <v>65.8</v>
      </c>
    </row>
    <row r="117" spans="1:28" x14ac:dyDescent="0.2">
      <c r="A117" s="3">
        <v>116</v>
      </c>
      <c r="B117" s="4" t="s">
        <v>38</v>
      </c>
      <c r="C117" s="5">
        <v>19.803000000000001</v>
      </c>
      <c r="D117" s="5">
        <v>46.007092198581567</v>
      </c>
      <c r="E117" s="5">
        <v>5.4397163120567384</v>
      </c>
      <c r="F117" s="5">
        <v>0.48865248226950364</v>
      </c>
      <c r="G117" s="5">
        <v>3.5035460992907802E-2</v>
      </c>
      <c r="H117" s="5">
        <v>39.092198581560282</v>
      </c>
      <c r="I117" s="5">
        <v>1.3</v>
      </c>
      <c r="J117" s="5">
        <v>7.7</v>
      </c>
      <c r="K117" s="5">
        <v>80.7</v>
      </c>
      <c r="L117" s="5"/>
      <c r="M117" s="5">
        <v>667</v>
      </c>
      <c r="N117" s="5">
        <v>275</v>
      </c>
      <c r="O117" s="5">
        <v>0</v>
      </c>
      <c r="P117" s="5">
        <v>0.31</v>
      </c>
      <c r="Q117" s="5" t="s">
        <v>23</v>
      </c>
      <c r="R117" s="5">
        <v>59.9</v>
      </c>
      <c r="S117">
        <v>30.174563591022441</v>
      </c>
      <c r="T117">
        <v>42.144638403990022</v>
      </c>
      <c r="U117">
        <v>23.940149625935163</v>
      </c>
      <c r="V117">
        <v>3.7406483790523692</v>
      </c>
      <c r="W117" s="5">
        <v>3.95</v>
      </c>
      <c r="X117" s="5">
        <v>50.95</v>
      </c>
      <c r="Y117" s="5">
        <v>1.45</v>
      </c>
      <c r="Z117" s="5">
        <v>102.15</v>
      </c>
      <c r="AA117" s="5">
        <v>28.9</v>
      </c>
      <c r="AB117" s="5">
        <v>50.4</v>
      </c>
    </row>
    <row r="118" spans="1:28" x14ac:dyDescent="0.2">
      <c r="A118" s="3">
        <v>117</v>
      </c>
      <c r="B118" s="4" t="s">
        <v>38</v>
      </c>
      <c r="C118" s="5">
        <v>19.803000000000001</v>
      </c>
      <c r="D118" s="5">
        <v>44.945390070921988</v>
      </c>
      <c r="E118" s="5">
        <v>5.3141843971631211</v>
      </c>
      <c r="F118" s="5">
        <v>0.47737588652482277</v>
      </c>
      <c r="G118" s="5">
        <v>3.4226950354609931E-2</v>
      </c>
      <c r="H118" s="5">
        <v>38.190070921985814</v>
      </c>
      <c r="I118" s="5">
        <v>1.3</v>
      </c>
      <c r="J118" s="5">
        <v>9.8000000000000007</v>
      </c>
      <c r="K118" s="5">
        <v>80.7</v>
      </c>
      <c r="L118" s="5"/>
      <c r="M118" s="5">
        <v>755</v>
      </c>
      <c r="N118" s="5">
        <v>346</v>
      </c>
      <c r="O118" s="5">
        <v>0</v>
      </c>
      <c r="P118" s="5">
        <v>0.52</v>
      </c>
      <c r="Q118" s="5" t="s">
        <v>23</v>
      </c>
      <c r="R118" s="5">
        <v>58.70000000000001</v>
      </c>
      <c r="S118">
        <v>27.602905569007262</v>
      </c>
      <c r="T118">
        <v>41.888619854721547</v>
      </c>
      <c r="U118">
        <v>26.634382566585952</v>
      </c>
      <c r="V118">
        <v>3.8740920096852296</v>
      </c>
      <c r="W118" s="5">
        <v>3.97</v>
      </c>
      <c r="X118" s="5">
        <v>13.72</v>
      </c>
      <c r="Y118" s="5">
        <v>2.2200000000000002</v>
      </c>
      <c r="Z118" s="5">
        <v>180.64</v>
      </c>
      <c r="AA118" s="5">
        <v>43.1</v>
      </c>
      <c r="AB118" s="5">
        <v>69.599999999999994</v>
      </c>
    </row>
    <row r="119" spans="1:28" x14ac:dyDescent="0.2">
      <c r="A119" s="3">
        <v>118</v>
      </c>
      <c r="B119" s="4" t="s">
        <v>39</v>
      </c>
      <c r="C119" s="5">
        <v>15.232963</v>
      </c>
      <c r="D119" s="5">
        <v>37.225400110861813</v>
      </c>
      <c r="E119" s="5">
        <v>4.3847226092120888</v>
      </c>
      <c r="F119" s="5">
        <v>2.1386708236769167</v>
      </c>
      <c r="G119" s="5">
        <v>0.22371033720469838</v>
      </c>
      <c r="H119" s="5">
        <v>30.370915378909853</v>
      </c>
      <c r="I119" s="5">
        <v>16.982579160731895</v>
      </c>
      <c r="J119" s="5">
        <v>8.73</v>
      </c>
      <c r="K119" s="5">
        <v>81.516379971513103</v>
      </c>
      <c r="L119" s="5"/>
      <c r="M119" s="5">
        <v>775</v>
      </c>
      <c r="N119" s="5">
        <v>200</v>
      </c>
      <c r="O119" s="5">
        <v>0</v>
      </c>
      <c r="P119" s="5">
        <v>0.25</v>
      </c>
      <c r="Q119" s="5" t="s">
        <v>23</v>
      </c>
      <c r="R119" s="5">
        <v>53.62907424763096</v>
      </c>
      <c r="S119">
        <v>29.238715472715025</v>
      </c>
      <c r="T119">
        <v>18.931057713900742</v>
      </c>
      <c r="U119">
        <v>45.609701324949469</v>
      </c>
      <c r="V119">
        <v>6.220525488434764</v>
      </c>
      <c r="W119" s="5">
        <v>4.13</v>
      </c>
      <c r="X119" s="5">
        <v>1.1499999999999999</v>
      </c>
      <c r="Y119" s="5">
        <v>1.36</v>
      </c>
      <c r="Z119" s="5">
        <v>301.52</v>
      </c>
      <c r="AA119" s="5">
        <v>33.799999999999997</v>
      </c>
      <c r="AB119" s="5">
        <v>47.558207722656299</v>
      </c>
    </row>
    <row r="120" spans="1:28" x14ac:dyDescent="0.2">
      <c r="A120" s="3">
        <v>119</v>
      </c>
      <c r="B120" s="4" t="s">
        <v>39</v>
      </c>
      <c r="C120" s="5">
        <v>15.232963</v>
      </c>
      <c r="D120" s="5">
        <v>37.225400110861813</v>
      </c>
      <c r="E120" s="5">
        <v>4.3847226092120888</v>
      </c>
      <c r="F120" s="5">
        <v>2.1386708236769167</v>
      </c>
      <c r="G120" s="5">
        <v>0.22371033720469838</v>
      </c>
      <c r="H120" s="5">
        <v>30.370915378909853</v>
      </c>
      <c r="I120" s="5">
        <v>16.982579160731895</v>
      </c>
      <c r="J120" s="5">
        <v>8.73</v>
      </c>
      <c r="K120" s="5">
        <v>81.516379971513103</v>
      </c>
      <c r="L120" s="5"/>
      <c r="M120" s="5">
        <v>775</v>
      </c>
      <c r="N120" s="5">
        <v>200</v>
      </c>
      <c r="O120" s="5">
        <v>0</v>
      </c>
      <c r="P120" s="5">
        <v>0.3</v>
      </c>
      <c r="Q120" s="5" t="s">
        <v>23</v>
      </c>
      <c r="R120" s="5">
        <v>53.341766814252587</v>
      </c>
      <c r="S120">
        <v>29.168549480343426</v>
      </c>
      <c r="T120">
        <v>20.515137821961137</v>
      </c>
      <c r="U120">
        <v>44.283777677361044</v>
      </c>
      <c r="V120">
        <v>6.0325350203343868</v>
      </c>
      <c r="W120" s="6">
        <v>4.21</v>
      </c>
      <c r="X120" s="6"/>
      <c r="Y120" s="5">
        <v>1.66</v>
      </c>
      <c r="Z120" s="6"/>
      <c r="AA120" s="5">
        <v>42.14</v>
      </c>
      <c r="AB120" s="5">
        <v>57.868718019558337</v>
      </c>
    </row>
    <row r="121" spans="1:28" x14ac:dyDescent="0.2">
      <c r="A121" s="3">
        <v>120</v>
      </c>
      <c r="B121" s="4" t="s">
        <v>39</v>
      </c>
      <c r="C121" s="5">
        <v>15.232963</v>
      </c>
      <c r="D121" s="5">
        <v>37.225400110861813</v>
      </c>
      <c r="E121" s="5">
        <v>4.3847226092120888</v>
      </c>
      <c r="F121" s="5">
        <v>2.1386708236769167</v>
      </c>
      <c r="G121" s="5">
        <v>0.22371033720469838</v>
      </c>
      <c r="H121" s="5">
        <v>30.370915378909853</v>
      </c>
      <c r="I121" s="5">
        <v>16.982579160731895</v>
      </c>
      <c r="J121" s="5">
        <v>8.73</v>
      </c>
      <c r="K121" s="5">
        <v>81.516379971513103</v>
      </c>
      <c r="L121" s="5"/>
      <c r="M121" s="5">
        <v>775</v>
      </c>
      <c r="N121" s="5">
        <v>200</v>
      </c>
      <c r="O121" s="5">
        <v>0</v>
      </c>
      <c r="P121" s="5">
        <v>0.25</v>
      </c>
      <c r="Q121" s="5" t="s">
        <v>23</v>
      </c>
      <c r="R121" s="5">
        <v>54.797570850202426</v>
      </c>
      <c r="S121">
        <v>30.228392297357814</v>
      </c>
      <c r="T121">
        <v>18.853560232870578</v>
      </c>
      <c r="U121">
        <v>44.872369010300034</v>
      </c>
      <c r="V121">
        <v>6.0456784594715627</v>
      </c>
      <c r="W121" s="5">
        <v>4.25</v>
      </c>
      <c r="X121" s="5">
        <v>1.0900000000000001</v>
      </c>
      <c r="Y121" s="5">
        <v>1.35</v>
      </c>
      <c r="Z121" s="5">
        <v>261.92</v>
      </c>
      <c r="AA121" s="5">
        <v>34.76</v>
      </c>
      <c r="AB121" s="5">
        <v>47.091112043117235</v>
      </c>
    </row>
    <row r="122" spans="1:28" x14ac:dyDescent="0.2">
      <c r="A122" s="3">
        <v>121</v>
      </c>
      <c r="B122" s="4" t="s">
        <v>39</v>
      </c>
      <c r="C122" s="5">
        <v>15.232963</v>
      </c>
      <c r="D122" s="5">
        <v>37.225400110861813</v>
      </c>
      <c r="E122" s="5">
        <v>4.3847226092120888</v>
      </c>
      <c r="F122" s="5">
        <v>2.1386708236769167</v>
      </c>
      <c r="G122" s="5">
        <v>0.22371033720469838</v>
      </c>
      <c r="H122" s="5">
        <v>30.370915378909853</v>
      </c>
      <c r="I122" s="5">
        <v>16.982579160731895</v>
      </c>
      <c r="J122" s="5">
        <v>8.73</v>
      </c>
      <c r="K122" s="5">
        <v>81.516379971513103</v>
      </c>
      <c r="L122" s="5"/>
      <c r="M122" s="5">
        <v>775</v>
      </c>
      <c r="N122" s="5">
        <v>200</v>
      </c>
      <c r="O122" s="5">
        <v>0</v>
      </c>
      <c r="P122" s="5">
        <v>0.3</v>
      </c>
      <c r="Q122" s="5" t="s">
        <v>23</v>
      </c>
      <c r="R122" s="5">
        <v>55.066747572815522</v>
      </c>
      <c r="S122">
        <v>28.651811838847625</v>
      </c>
      <c r="T122">
        <v>20.594193112761651</v>
      </c>
      <c r="U122">
        <v>44.789556605896912</v>
      </c>
      <c r="V122">
        <v>5.9644384424938099</v>
      </c>
      <c r="W122" s="6">
        <v>4.1900000000000004</v>
      </c>
      <c r="X122" s="6"/>
      <c r="Y122" s="5">
        <v>1.38</v>
      </c>
      <c r="Z122" s="6"/>
      <c r="AA122" s="5">
        <v>34.85</v>
      </c>
      <c r="AB122" s="5">
        <v>48.537350492096344</v>
      </c>
    </row>
    <row r="123" spans="1:28" x14ac:dyDescent="0.2">
      <c r="A123" s="3">
        <v>122</v>
      </c>
      <c r="B123" s="4" t="s">
        <v>40</v>
      </c>
      <c r="C123" s="5">
        <v>14.22</v>
      </c>
      <c r="D123" s="5">
        <v>33.3324</v>
      </c>
      <c r="E123" s="5">
        <v>4.8048300000000008</v>
      </c>
      <c r="F123" s="5">
        <v>0.33687</v>
      </c>
      <c r="G123" s="5">
        <v>2.6595000000000001E-2</v>
      </c>
      <c r="H123" s="5">
        <v>32.410440000000001</v>
      </c>
      <c r="I123" s="5">
        <v>20</v>
      </c>
      <c r="J123" s="5">
        <v>9.08</v>
      </c>
      <c r="K123" s="5">
        <v>66.400000000000006</v>
      </c>
      <c r="L123" s="5">
        <v>13.6</v>
      </c>
      <c r="M123" s="5">
        <v>665</v>
      </c>
      <c r="N123" s="5">
        <v>30</v>
      </c>
      <c r="O123" s="5">
        <v>0</v>
      </c>
      <c r="P123" s="5">
        <v>0.25</v>
      </c>
      <c r="Q123" s="5" t="s">
        <v>23</v>
      </c>
      <c r="R123" s="5">
        <v>57.830709466366791</v>
      </c>
      <c r="S123">
        <v>9.696969696969699</v>
      </c>
      <c r="T123">
        <v>48.242424242424242</v>
      </c>
      <c r="U123">
        <v>35.030303030303031</v>
      </c>
      <c r="V123">
        <v>7.0303030303030312</v>
      </c>
      <c r="W123" s="6">
        <v>4.9569707024000005</v>
      </c>
      <c r="X123" s="6"/>
      <c r="Y123" s="5">
        <v>1.5</v>
      </c>
      <c r="Z123" s="6"/>
      <c r="AA123" s="5">
        <v>52.288720489451478</v>
      </c>
      <c r="AB123" s="5">
        <v>76</v>
      </c>
    </row>
    <row r="124" spans="1:28" x14ac:dyDescent="0.2">
      <c r="A124" s="3">
        <v>123</v>
      </c>
      <c r="B124" s="4" t="s">
        <v>40</v>
      </c>
      <c r="C124" s="5">
        <v>14.22</v>
      </c>
      <c r="D124" s="5">
        <v>33.3324</v>
      </c>
      <c r="E124" s="5">
        <v>4.8048300000000008</v>
      </c>
      <c r="F124" s="5">
        <v>0.33687</v>
      </c>
      <c r="G124" s="5">
        <v>2.6595000000000001E-2</v>
      </c>
      <c r="H124" s="5">
        <v>32.410440000000001</v>
      </c>
      <c r="I124" s="5">
        <v>20</v>
      </c>
      <c r="J124" s="5">
        <v>9.08</v>
      </c>
      <c r="K124" s="5">
        <v>66.400000000000006</v>
      </c>
      <c r="L124" s="5">
        <v>13.6</v>
      </c>
      <c r="M124" s="5">
        <v>744</v>
      </c>
      <c r="N124" s="5">
        <v>30</v>
      </c>
      <c r="O124" s="5">
        <v>0</v>
      </c>
      <c r="P124" s="5">
        <v>0.3</v>
      </c>
      <c r="Q124" s="5" t="s">
        <v>23</v>
      </c>
      <c r="R124" s="5">
        <v>62.151475210382223</v>
      </c>
      <c r="S124">
        <v>10.12590409858023</v>
      </c>
      <c r="T124">
        <v>40.048218590945623</v>
      </c>
      <c r="U124">
        <v>43.477096169300836</v>
      </c>
      <c r="V124">
        <v>6.3487811411733208</v>
      </c>
      <c r="W124" s="6">
        <v>3.7609873137680001</v>
      </c>
      <c r="X124" s="6"/>
      <c r="Y124" s="5">
        <v>1.73</v>
      </c>
      <c r="Z124" s="6"/>
      <c r="AA124" s="5">
        <v>45.756034126713359</v>
      </c>
      <c r="AB124" s="5">
        <v>78.3</v>
      </c>
    </row>
    <row r="125" spans="1:28" x14ac:dyDescent="0.2">
      <c r="A125" s="3">
        <v>124</v>
      </c>
      <c r="B125" s="4" t="s">
        <v>40</v>
      </c>
      <c r="C125" s="5">
        <v>14.22</v>
      </c>
      <c r="D125" s="5">
        <v>33.3324</v>
      </c>
      <c r="E125" s="5">
        <v>4.8048300000000008</v>
      </c>
      <c r="F125" s="5">
        <v>0.33687</v>
      </c>
      <c r="G125" s="5">
        <v>2.6595000000000001E-2</v>
      </c>
      <c r="H125" s="5">
        <v>32.410440000000001</v>
      </c>
      <c r="I125" s="5">
        <v>20</v>
      </c>
      <c r="J125" s="5">
        <v>9.08</v>
      </c>
      <c r="K125" s="5">
        <v>66.400000000000006</v>
      </c>
      <c r="L125" s="5">
        <v>13.6</v>
      </c>
      <c r="M125" s="5">
        <v>811</v>
      </c>
      <c r="N125" s="5">
        <v>30</v>
      </c>
      <c r="O125" s="5">
        <v>0</v>
      </c>
      <c r="P125" s="5">
        <v>0.35</v>
      </c>
      <c r="Q125" s="5" t="s">
        <v>23</v>
      </c>
      <c r="R125" s="5">
        <v>64.329792615073345</v>
      </c>
      <c r="S125">
        <v>9.6142938173567778</v>
      </c>
      <c r="T125">
        <v>36.15995462280204</v>
      </c>
      <c r="U125">
        <v>48.610323312535449</v>
      </c>
      <c r="V125">
        <v>5.6154282473057284</v>
      </c>
      <c r="W125" s="6">
        <v>3.2181076702839997</v>
      </c>
      <c r="X125" s="6"/>
      <c r="Y125" s="5">
        <v>1.98</v>
      </c>
      <c r="Z125" s="6"/>
      <c r="AA125" s="5">
        <v>44.809094143194926</v>
      </c>
      <c r="AB125" s="5">
        <v>81</v>
      </c>
    </row>
    <row r="126" spans="1:28" x14ac:dyDescent="0.2">
      <c r="A126" s="3">
        <v>125</v>
      </c>
      <c r="B126" s="4" t="s">
        <v>40</v>
      </c>
      <c r="C126" s="5">
        <v>14.22</v>
      </c>
      <c r="D126" s="5">
        <v>33.3324</v>
      </c>
      <c r="E126" s="5">
        <v>4.8048300000000008</v>
      </c>
      <c r="F126" s="5">
        <v>0.33687</v>
      </c>
      <c r="G126" s="5">
        <v>2.6595000000000001E-2</v>
      </c>
      <c r="H126" s="5">
        <v>32.410440000000001</v>
      </c>
      <c r="I126" s="5">
        <v>20</v>
      </c>
      <c r="J126" s="5">
        <v>9.08</v>
      </c>
      <c r="K126" s="5">
        <v>66.400000000000006</v>
      </c>
      <c r="L126" s="5">
        <v>13.6</v>
      </c>
      <c r="M126" s="5">
        <v>670</v>
      </c>
      <c r="N126" s="5">
        <v>30</v>
      </c>
      <c r="O126" s="5">
        <v>0</v>
      </c>
      <c r="P126" s="5">
        <v>0.25</v>
      </c>
      <c r="Q126" s="5" t="s">
        <v>23</v>
      </c>
      <c r="R126" s="5">
        <v>60.439113640983933</v>
      </c>
      <c r="S126">
        <v>9.6865364850976388</v>
      </c>
      <c r="T126">
        <v>46.993833504624874</v>
      </c>
      <c r="U126">
        <v>37.255909558067835</v>
      </c>
      <c r="V126">
        <v>6.0637204522096617</v>
      </c>
      <c r="W126" s="6">
        <v>4.3111698870120003</v>
      </c>
      <c r="X126" s="6"/>
      <c r="Y126" s="5">
        <v>1.49</v>
      </c>
      <c r="Z126" s="6"/>
      <c r="AA126" s="5">
        <v>45.173299097383129</v>
      </c>
      <c r="AB126" s="5">
        <v>70.400000000000006</v>
      </c>
    </row>
    <row r="127" spans="1:28" x14ac:dyDescent="0.2">
      <c r="A127" s="3">
        <v>126</v>
      </c>
      <c r="B127" s="4" t="s">
        <v>40</v>
      </c>
      <c r="C127" s="5">
        <v>14.22</v>
      </c>
      <c r="D127" s="5">
        <v>33.3324</v>
      </c>
      <c r="E127" s="5">
        <v>4.8048300000000008</v>
      </c>
      <c r="F127" s="5">
        <v>0.33687</v>
      </c>
      <c r="G127" s="5">
        <v>2.6595000000000001E-2</v>
      </c>
      <c r="H127" s="5">
        <v>32.410440000000001</v>
      </c>
      <c r="I127" s="5">
        <v>20</v>
      </c>
      <c r="J127" s="5">
        <v>9.08</v>
      </c>
      <c r="K127" s="5">
        <v>66.400000000000006</v>
      </c>
      <c r="L127" s="5">
        <v>13.6</v>
      </c>
      <c r="M127" s="5">
        <v>750</v>
      </c>
      <c r="N127" s="5">
        <v>30</v>
      </c>
      <c r="O127" s="5">
        <v>0</v>
      </c>
      <c r="P127" s="5">
        <v>0.3</v>
      </c>
      <c r="Q127" s="5" t="s">
        <v>23</v>
      </c>
      <c r="R127" s="5">
        <v>63.235741059669735</v>
      </c>
      <c r="S127">
        <v>9.3689721686414984</v>
      </c>
      <c r="T127">
        <v>39.763020115734356</v>
      </c>
      <c r="U127">
        <v>45.356847616423259</v>
      </c>
      <c r="V127">
        <v>5.5111600992008816</v>
      </c>
      <c r="W127" s="6">
        <v>3.47792509704</v>
      </c>
      <c r="X127" s="6"/>
      <c r="Y127" s="5">
        <v>1.71</v>
      </c>
      <c r="Z127" s="6"/>
      <c r="AA127" s="5">
        <v>41.823149901113915</v>
      </c>
      <c r="AB127" s="5">
        <v>72.599999999999994</v>
      </c>
    </row>
    <row r="128" spans="1:28" x14ac:dyDescent="0.2">
      <c r="A128" s="3">
        <v>127</v>
      </c>
      <c r="B128" s="4" t="s">
        <v>40</v>
      </c>
      <c r="C128" s="5">
        <v>14.22</v>
      </c>
      <c r="D128" s="5">
        <v>33.3324</v>
      </c>
      <c r="E128" s="5">
        <v>4.8048300000000008</v>
      </c>
      <c r="F128" s="5">
        <v>0.33687</v>
      </c>
      <c r="G128" s="5">
        <v>2.6595000000000001E-2</v>
      </c>
      <c r="H128" s="5">
        <v>32.410440000000001</v>
      </c>
      <c r="I128" s="5">
        <v>20</v>
      </c>
      <c r="J128" s="5">
        <v>9.08</v>
      </c>
      <c r="K128" s="5">
        <v>66.400000000000006</v>
      </c>
      <c r="L128" s="5">
        <v>13.6</v>
      </c>
      <c r="M128" s="5">
        <v>822</v>
      </c>
      <c r="N128" s="5">
        <v>30</v>
      </c>
      <c r="O128" s="5">
        <v>0</v>
      </c>
      <c r="P128" s="5">
        <v>0.35</v>
      </c>
      <c r="Q128" s="5" t="s">
        <v>23</v>
      </c>
      <c r="R128" s="5">
        <v>64.790298130368868</v>
      </c>
      <c r="S128">
        <v>9.3570608495981595</v>
      </c>
      <c r="T128">
        <v>35.878300803673937</v>
      </c>
      <c r="U128">
        <v>49.454649827784145</v>
      </c>
      <c r="V128">
        <v>5.3099885189437419</v>
      </c>
      <c r="W128" s="6">
        <v>3.090481122456</v>
      </c>
      <c r="X128" s="6"/>
      <c r="Y128" s="5">
        <v>1.97</v>
      </c>
      <c r="Z128" s="6"/>
      <c r="AA128" s="5">
        <v>42.814682216865826</v>
      </c>
      <c r="AB128" s="5">
        <v>78.599999999999994</v>
      </c>
    </row>
    <row r="129" spans="1:28" x14ac:dyDescent="0.2">
      <c r="A129" s="3">
        <v>128</v>
      </c>
      <c r="B129" s="4" t="s">
        <v>40</v>
      </c>
      <c r="C129" s="5">
        <v>14.22</v>
      </c>
      <c r="D129" s="5">
        <v>33.3324</v>
      </c>
      <c r="E129" s="5">
        <v>4.8048300000000008</v>
      </c>
      <c r="F129" s="5">
        <v>0.33687</v>
      </c>
      <c r="G129" s="5">
        <v>2.6595000000000001E-2</v>
      </c>
      <c r="H129" s="5">
        <v>32.410440000000001</v>
      </c>
      <c r="I129" s="5">
        <v>20</v>
      </c>
      <c r="J129" s="5">
        <v>9.08</v>
      </c>
      <c r="K129" s="5">
        <v>66.400000000000006</v>
      </c>
      <c r="L129" s="5">
        <v>13.6</v>
      </c>
      <c r="M129" s="5">
        <v>700</v>
      </c>
      <c r="N129" s="5">
        <v>30</v>
      </c>
      <c r="O129" s="5">
        <v>0</v>
      </c>
      <c r="P129" s="5">
        <v>0.25</v>
      </c>
      <c r="Q129" s="5" t="s">
        <v>23</v>
      </c>
      <c r="R129" s="5">
        <v>64.097877957153003</v>
      </c>
      <c r="S129">
        <v>9.6436651583710429</v>
      </c>
      <c r="T129">
        <v>42.78846153846154</v>
      </c>
      <c r="U129">
        <v>41.911764705882362</v>
      </c>
      <c r="V129">
        <v>5.6561085972850682</v>
      </c>
      <c r="W129" s="6">
        <v>3.687742523796</v>
      </c>
      <c r="X129" s="6"/>
      <c r="Y129" s="5">
        <v>1.3</v>
      </c>
      <c r="Z129" s="6"/>
      <c r="AA129" s="5">
        <v>33.71353924708017</v>
      </c>
      <c r="AB129" s="5">
        <v>55</v>
      </c>
    </row>
    <row r="130" spans="1:28" x14ac:dyDescent="0.2">
      <c r="A130" s="3">
        <v>129</v>
      </c>
      <c r="B130" s="4" t="s">
        <v>40</v>
      </c>
      <c r="C130" s="5">
        <v>14.22</v>
      </c>
      <c r="D130" s="5">
        <v>33.3324</v>
      </c>
      <c r="E130" s="5">
        <v>4.8048300000000008</v>
      </c>
      <c r="F130" s="5">
        <v>0.33687</v>
      </c>
      <c r="G130" s="5">
        <v>2.6595000000000001E-2</v>
      </c>
      <c r="H130" s="5">
        <v>32.410440000000001</v>
      </c>
      <c r="I130" s="5">
        <v>20</v>
      </c>
      <c r="J130" s="5">
        <v>9.08</v>
      </c>
      <c r="K130" s="5">
        <v>66.400000000000006</v>
      </c>
      <c r="L130" s="5">
        <v>13.6</v>
      </c>
      <c r="M130" s="5">
        <v>766</v>
      </c>
      <c r="N130" s="5">
        <v>30</v>
      </c>
      <c r="O130" s="5">
        <v>0</v>
      </c>
      <c r="P130" s="5">
        <v>0.3</v>
      </c>
      <c r="Q130" s="5" t="s">
        <v>23</v>
      </c>
      <c r="R130" s="5">
        <v>64.737427906506113</v>
      </c>
      <c r="S130">
        <v>9.5265423242467708</v>
      </c>
      <c r="T130">
        <v>37.302725968436157</v>
      </c>
      <c r="U130">
        <v>47.690100430416067</v>
      </c>
      <c r="V130">
        <v>5.4806312769010042</v>
      </c>
      <c r="W130" s="6">
        <v>3.1993856829919998</v>
      </c>
      <c r="X130" s="6"/>
      <c r="Y130" s="5">
        <v>1.5</v>
      </c>
      <c r="Z130" s="6"/>
      <c r="AA130" s="5">
        <v>33.748794124388176</v>
      </c>
      <c r="AB130" s="5">
        <v>60</v>
      </c>
    </row>
    <row r="131" spans="1:28" x14ac:dyDescent="0.2">
      <c r="A131" s="3">
        <v>130</v>
      </c>
      <c r="B131" s="4" t="s">
        <v>40</v>
      </c>
      <c r="C131" s="5">
        <v>14.22</v>
      </c>
      <c r="D131" s="5">
        <v>33.3324</v>
      </c>
      <c r="E131" s="5">
        <v>4.8048300000000008</v>
      </c>
      <c r="F131" s="5">
        <v>0.33687</v>
      </c>
      <c r="G131" s="5">
        <v>2.6595000000000001E-2</v>
      </c>
      <c r="H131" s="5">
        <v>32.410440000000001</v>
      </c>
      <c r="I131" s="5">
        <v>20</v>
      </c>
      <c r="J131" s="5">
        <v>9.08</v>
      </c>
      <c r="K131" s="5">
        <v>66.400000000000006</v>
      </c>
      <c r="L131" s="5">
        <v>13.6</v>
      </c>
      <c r="M131" s="5">
        <v>828</v>
      </c>
      <c r="N131" s="5">
        <v>30</v>
      </c>
      <c r="O131" s="5">
        <v>0</v>
      </c>
      <c r="P131" s="5">
        <v>0.35</v>
      </c>
      <c r="Q131" s="5" t="s">
        <v>23</v>
      </c>
      <c r="R131" s="5">
        <v>64.852035147964841</v>
      </c>
      <c r="S131">
        <v>9.3390804597701145</v>
      </c>
      <c r="T131">
        <v>35.31609195402298</v>
      </c>
      <c r="U131">
        <v>50.057471264367813</v>
      </c>
      <c r="V131">
        <v>5.2873563218390807</v>
      </c>
      <c r="W131" s="6">
        <v>3.0306636956999999</v>
      </c>
      <c r="X131" s="6"/>
      <c r="Y131" s="5">
        <v>1.7</v>
      </c>
      <c r="Z131" s="6"/>
      <c r="AA131" s="5">
        <v>36.231563169409277</v>
      </c>
      <c r="AB131" s="5">
        <v>67</v>
      </c>
    </row>
    <row r="132" spans="1:28" x14ac:dyDescent="0.2">
      <c r="A132" s="3">
        <v>131</v>
      </c>
      <c r="B132" s="4" t="s">
        <v>40</v>
      </c>
      <c r="C132" s="5">
        <v>14.833093268416311</v>
      </c>
      <c r="D132" s="5">
        <v>33.547937909400254</v>
      </c>
      <c r="E132" s="5">
        <v>2.5926977775414715</v>
      </c>
      <c r="F132" s="5">
        <v>0.42775148518360978</v>
      </c>
      <c r="G132" s="5">
        <v>6.1107355026229972E-2</v>
      </c>
      <c r="H132" s="5">
        <v>31.740906125053165</v>
      </c>
      <c r="I132" s="5">
        <v>21.67684619655747</v>
      </c>
      <c r="J132" s="5">
        <v>9.9499999999999993</v>
      </c>
      <c r="K132" s="5">
        <v>61.676846196557477</v>
      </c>
      <c r="L132" s="5">
        <v>16.646307606885067</v>
      </c>
      <c r="M132" s="5">
        <v>750</v>
      </c>
      <c r="N132" s="5"/>
      <c r="O132" s="5">
        <v>0.5</v>
      </c>
      <c r="P132" s="5">
        <v>0.35</v>
      </c>
      <c r="Q132" s="5" t="s">
        <v>29</v>
      </c>
      <c r="R132" s="5">
        <v>55.1</v>
      </c>
      <c r="S132">
        <v>20.489977728285076</v>
      </c>
      <c r="T132">
        <v>28.507795100222715</v>
      </c>
      <c r="U132">
        <v>46.325167037861917</v>
      </c>
      <c r="V132">
        <v>4.6770601336302899</v>
      </c>
      <c r="W132" s="6">
        <v>3.38</v>
      </c>
      <c r="X132" s="6"/>
      <c r="Y132" s="5">
        <v>1.3127645530260963</v>
      </c>
      <c r="Z132" s="6"/>
      <c r="AA132" s="5">
        <v>29.9138157425066</v>
      </c>
      <c r="AB132" s="5">
        <v>71.900000000000006</v>
      </c>
    </row>
    <row r="133" spans="1:28" x14ac:dyDescent="0.2">
      <c r="A133" s="3">
        <v>132</v>
      </c>
      <c r="B133" s="4" t="s">
        <v>40</v>
      </c>
      <c r="C133" s="5">
        <v>14.833093268416311</v>
      </c>
      <c r="D133" s="5">
        <v>33.547937909400254</v>
      </c>
      <c r="E133" s="5">
        <v>2.5926977775414715</v>
      </c>
      <c r="F133" s="5">
        <v>0.42775148518360978</v>
      </c>
      <c r="G133" s="5">
        <v>6.1107355026229972E-2</v>
      </c>
      <c r="H133" s="5">
        <v>31.740906125053165</v>
      </c>
      <c r="I133" s="5">
        <v>21.67684619655747</v>
      </c>
      <c r="J133" s="5">
        <v>9.9499999999999993</v>
      </c>
      <c r="K133" s="5">
        <v>61.676846196557477</v>
      </c>
      <c r="L133" s="5">
        <v>16.646307606885067</v>
      </c>
      <c r="M133" s="5">
        <v>800</v>
      </c>
      <c r="N133" s="5"/>
      <c r="O133" s="5">
        <v>0.5</v>
      </c>
      <c r="P133" s="5">
        <v>0.3</v>
      </c>
      <c r="Q133" s="5" t="s">
        <v>29</v>
      </c>
      <c r="R133" s="5">
        <v>52.5</v>
      </c>
      <c r="S133">
        <v>24.421052631578952</v>
      </c>
      <c r="T133">
        <v>30.947368421052641</v>
      </c>
      <c r="U133">
        <v>38.736842105263165</v>
      </c>
      <c r="V133">
        <v>5.8947368421052637</v>
      </c>
      <c r="W133" s="6">
        <v>4.13</v>
      </c>
      <c r="X133" s="6"/>
      <c r="Y133" s="5">
        <v>1.3401138145474734</v>
      </c>
      <c r="Z133" s="6"/>
      <c r="AA133" s="5">
        <v>37.312986266093816</v>
      </c>
      <c r="AB133" s="5">
        <v>73.3</v>
      </c>
    </row>
    <row r="134" spans="1:28" x14ac:dyDescent="0.2">
      <c r="A134" s="3">
        <v>133</v>
      </c>
      <c r="B134" s="4" t="s">
        <v>40</v>
      </c>
      <c r="C134" s="5">
        <v>14.833093268416311</v>
      </c>
      <c r="D134" s="5">
        <v>33.547937909400254</v>
      </c>
      <c r="E134" s="5">
        <v>2.5926977775414715</v>
      </c>
      <c r="F134" s="5">
        <v>0.42775148518360978</v>
      </c>
      <c r="G134" s="5">
        <v>6.1107355026229972E-2</v>
      </c>
      <c r="H134" s="5">
        <v>31.740906125053165</v>
      </c>
      <c r="I134" s="5">
        <v>21.67684619655747</v>
      </c>
      <c r="J134" s="5">
        <v>9.9499999999999993</v>
      </c>
      <c r="K134" s="5">
        <v>61.676846196557477</v>
      </c>
      <c r="L134" s="5">
        <v>16.646307606885067</v>
      </c>
      <c r="M134" s="5">
        <v>800</v>
      </c>
      <c r="N134" s="5"/>
      <c r="O134" s="5">
        <v>0.2</v>
      </c>
      <c r="P134" s="5">
        <v>0.35</v>
      </c>
      <c r="Q134" s="5" t="s">
        <v>29</v>
      </c>
      <c r="R134" s="5">
        <v>57.300000000000004</v>
      </c>
      <c r="S134">
        <v>17.798594847775178</v>
      </c>
      <c r="T134">
        <v>32.084309133489462</v>
      </c>
      <c r="U134">
        <v>43.559718969555043</v>
      </c>
      <c r="V134">
        <v>6.557377049180328</v>
      </c>
      <c r="W134" s="6">
        <v>3.57</v>
      </c>
      <c r="X134" s="6"/>
      <c r="Y134" s="5">
        <v>1.4153242837312601</v>
      </c>
      <c r="Z134" s="6"/>
      <c r="AA134" s="5">
        <v>34.063749222686994</v>
      </c>
      <c r="AB134" s="5">
        <v>77.099999999999994</v>
      </c>
    </row>
    <row r="135" spans="1:28" x14ac:dyDescent="0.2">
      <c r="A135" s="3">
        <v>134</v>
      </c>
      <c r="B135" s="4" t="s">
        <v>40</v>
      </c>
      <c r="C135" s="5">
        <v>14.833093268416311</v>
      </c>
      <c r="D135" s="5">
        <v>33.547937909400254</v>
      </c>
      <c r="E135" s="5">
        <v>2.5926977775414715</v>
      </c>
      <c r="F135" s="5">
        <v>0.42775148518360978</v>
      </c>
      <c r="G135" s="5">
        <v>6.1107355026229972E-2</v>
      </c>
      <c r="H135" s="5">
        <v>31.740906125053165</v>
      </c>
      <c r="I135" s="5">
        <v>21.67684619655747</v>
      </c>
      <c r="J135" s="5">
        <v>9.9499999999999993</v>
      </c>
      <c r="K135" s="5">
        <v>61.676846196557477</v>
      </c>
      <c r="L135" s="5">
        <v>16.646307606885067</v>
      </c>
      <c r="M135" s="5">
        <v>800</v>
      </c>
      <c r="N135" s="5"/>
      <c r="O135" s="5">
        <v>0.5</v>
      </c>
      <c r="P135" s="5">
        <v>0.35</v>
      </c>
      <c r="Q135" s="5" t="s">
        <v>29</v>
      </c>
      <c r="R135" s="5">
        <v>53.300000000000004</v>
      </c>
      <c r="S135">
        <v>22.269807280513916</v>
      </c>
      <c r="T135">
        <v>28.693790149892934</v>
      </c>
      <c r="U135">
        <v>43.468950749464668</v>
      </c>
      <c r="V135">
        <v>5.5674518201284791</v>
      </c>
      <c r="W135" s="6">
        <v>3.76</v>
      </c>
      <c r="X135" s="6"/>
      <c r="Y135" s="5">
        <v>1.4358362298722931</v>
      </c>
      <c r="Z135" s="6"/>
      <c r="AA135" s="5">
        <v>36.396617526940361</v>
      </c>
      <c r="AB135" s="5">
        <v>78.2</v>
      </c>
    </row>
    <row r="136" spans="1:28" x14ac:dyDescent="0.2">
      <c r="A136" s="3">
        <v>135</v>
      </c>
      <c r="B136" s="4" t="s">
        <v>40</v>
      </c>
      <c r="C136" s="5">
        <v>14.833093268416311</v>
      </c>
      <c r="D136" s="5">
        <v>33.547937909400254</v>
      </c>
      <c r="E136" s="5">
        <v>2.5926977775414715</v>
      </c>
      <c r="F136" s="5">
        <v>0.42775148518360978</v>
      </c>
      <c r="G136" s="5">
        <v>6.1107355026229972E-2</v>
      </c>
      <c r="H136" s="5">
        <v>31.740906125053165</v>
      </c>
      <c r="I136" s="5">
        <v>21.67684619655747</v>
      </c>
      <c r="J136" s="5">
        <v>9.9499999999999993</v>
      </c>
      <c r="K136" s="5">
        <v>61.676846196557477</v>
      </c>
      <c r="L136" s="5">
        <v>16.646307606885067</v>
      </c>
      <c r="M136" s="5">
        <v>800</v>
      </c>
      <c r="N136" s="5"/>
      <c r="O136" s="5">
        <v>0.5</v>
      </c>
      <c r="P136" s="5">
        <v>0.4</v>
      </c>
      <c r="Q136" s="5" t="s">
        <v>29</v>
      </c>
      <c r="R136" s="5">
        <v>54.500000000000007</v>
      </c>
      <c r="S136">
        <v>21.098901098901099</v>
      </c>
      <c r="T136">
        <v>26.813186813186814</v>
      </c>
      <c r="U136">
        <v>47.252747252747248</v>
      </c>
      <c r="V136">
        <v>4.8351648351648358</v>
      </c>
      <c r="W136" s="6">
        <v>3.38</v>
      </c>
      <c r="X136" s="6"/>
      <c r="Y136" s="5">
        <v>1.5657452220988337</v>
      </c>
      <c r="Z136" s="6"/>
      <c r="AA136" s="5">
        <v>35.678457317885474</v>
      </c>
      <c r="AB136" s="5">
        <v>85.5</v>
      </c>
    </row>
    <row r="137" spans="1:28" x14ac:dyDescent="0.2">
      <c r="A137" s="3">
        <v>136</v>
      </c>
      <c r="B137" s="4" t="s">
        <v>40</v>
      </c>
      <c r="C137" s="5">
        <v>14.833093268416311</v>
      </c>
      <c r="D137" s="5">
        <v>33.547937909400254</v>
      </c>
      <c r="E137" s="5">
        <v>2.5926977775414715</v>
      </c>
      <c r="F137" s="5">
        <v>0.42775148518360978</v>
      </c>
      <c r="G137" s="5">
        <v>6.1107355026229972E-2</v>
      </c>
      <c r="H137" s="5">
        <v>31.740906125053165</v>
      </c>
      <c r="I137" s="5">
        <v>21.67684619655747</v>
      </c>
      <c r="J137" s="5">
        <v>9.9499999999999993</v>
      </c>
      <c r="K137" s="5">
        <v>61.676846196557477</v>
      </c>
      <c r="L137" s="5">
        <v>16.646307606885067</v>
      </c>
      <c r="M137" s="5">
        <v>850</v>
      </c>
      <c r="N137" s="5"/>
      <c r="O137" s="5">
        <v>0.5</v>
      </c>
      <c r="P137" s="5">
        <v>0.35</v>
      </c>
      <c r="Q137" s="5" t="s">
        <v>29</v>
      </c>
      <c r="R137" s="5">
        <v>51.800000000000004</v>
      </c>
      <c r="S137">
        <v>25.51867219917013</v>
      </c>
      <c r="T137">
        <v>30.08298755186722</v>
      </c>
      <c r="U137">
        <v>38.174273858921168</v>
      </c>
      <c r="V137">
        <v>6.2240663900414948</v>
      </c>
      <c r="W137" s="6">
        <v>4.25</v>
      </c>
      <c r="X137" s="6"/>
      <c r="Y137" s="5">
        <v>1.5794198528595222</v>
      </c>
      <c r="Z137" s="6"/>
      <c r="AA137" s="5">
        <v>45.253773121927175</v>
      </c>
      <c r="AB137" s="5">
        <v>86.1</v>
      </c>
    </row>
    <row r="138" spans="1:28" x14ac:dyDescent="0.2">
      <c r="A138" s="3">
        <v>137</v>
      </c>
      <c r="B138" s="4" t="s">
        <v>40</v>
      </c>
      <c r="C138" s="5">
        <v>14.833093268416311</v>
      </c>
      <c r="D138" s="5">
        <v>33.547937909400254</v>
      </c>
      <c r="E138" s="5">
        <v>2.5926977775414715</v>
      </c>
      <c r="F138" s="5">
        <v>0.42775148518360978</v>
      </c>
      <c r="G138" s="5">
        <v>6.1107355026229972E-2</v>
      </c>
      <c r="H138" s="5">
        <v>31.740906125053165</v>
      </c>
      <c r="I138" s="5">
        <v>21.67684619655747</v>
      </c>
      <c r="J138" s="5">
        <v>9.9499999999999993</v>
      </c>
      <c r="K138" s="5">
        <v>61.676846196557477</v>
      </c>
      <c r="L138" s="5">
        <v>16.646307606885067</v>
      </c>
      <c r="M138" s="5">
        <v>800</v>
      </c>
      <c r="N138" s="5"/>
      <c r="O138" s="5">
        <v>0.8</v>
      </c>
      <c r="P138" s="5">
        <v>0.35</v>
      </c>
      <c r="Q138" s="5" t="s">
        <v>29</v>
      </c>
      <c r="R138" s="5">
        <v>51.9</v>
      </c>
      <c r="S138">
        <v>24.532224532224532</v>
      </c>
      <c r="T138">
        <v>26.4033264033264</v>
      </c>
      <c r="U138">
        <v>43.86694386694387</v>
      </c>
      <c r="V138">
        <v>5.1975051975051967</v>
      </c>
      <c r="W138" s="6">
        <v>3.79</v>
      </c>
      <c r="X138" s="6"/>
      <c r="Y138" s="5">
        <v>1.4563481760133257</v>
      </c>
      <c r="Z138" s="6"/>
      <c r="AA138" s="5">
        <v>37.211116300624546</v>
      </c>
      <c r="AB138" s="5">
        <v>79.599999999999994</v>
      </c>
    </row>
    <row r="139" spans="1:28" x14ac:dyDescent="0.2">
      <c r="A139" s="3">
        <v>138</v>
      </c>
      <c r="B139" s="4" t="s">
        <v>40</v>
      </c>
      <c r="C139" s="5">
        <v>14.833093268416311</v>
      </c>
      <c r="D139" s="5">
        <v>33.547937909400254</v>
      </c>
      <c r="E139" s="5">
        <v>2.5926977775414715</v>
      </c>
      <c r="F139" s="5">
        <v>0.42775148518360978</v>
      </c>
      <c r="G139" s="5">
        <v>6.1107355026229972E-2</v>
      </c>
      <c r="H139" s="5">
        <v>31.740906125053165</v>
      </c>
      <c r="I139" s="5">
        <v>21.67684619655747</v>
      </c>
      <c r="J139" s="5">
        <v>9.9499999999999993</v>
      </c>
      <c r="K139" s="5">
        <v>61.676846196557477</v>
      </c>
      <c r="L139" s="5">
        <v>16.646307606885067</v>
      </c>
      <c r="M139" s="5">
        <v>850</v>
      </c>
      <c r="N139" s="5"/>
      <c r="O139" s="5">
        <v>0.8</v>
      </c>
      <c r="P139" s="5">
        <v>0.35</v>
      </c>
      <c r="Q139" s="5" t="s">
        <v>29</v>
      </c>
      <c r="R139" s="5">
        <v>49.4</v>
      </c>
      <c r="S139">
        <v>25.889328063241106</v>
      </c>
      <c r="T139">
        <v>28.063241106719367</v>
      </c>
      <c r="U139">
        <v>40.316205533596836</v>
      </c>
      <c r="V139">
        <v>5.7312252964426875</v>
      </c>
      <c r="W139" s="6">
        <v>4.26</v>
      </c>
      <c r="X139" s="6"/>
      <c r="Y139" s="5">
        <v>1.5999317990005548</v>
      </c>
      <c r="Z139" s="6"/>
      <c r="AA139" s="5">
        <v>45.949346777552201</v>
      </c>
      <c r="AB139" s="5">
        <v>87.3</v>
      </c>
    </row>
    <row r="140" spans="1:28" x14ac:dyDescent="0.2">
      <c r="A140" s="3">
        <v>139</v>
      </c>
      <c r="B140" s="4" t="s">
        <v>41</v>
      </c>
      <c r="C140" s="5">
        <v>19.3</v>
      </c>
      <c r="D140" s="5">
        <v>45.556224899598391</v>
      </c>
      <c r="E140" s="5">
        <v>5.6712851405622482</v>
      </c>
      <c r="F140" s="5">
        <v>9.2971887550200805E-2</v>
      </c>
      <c r="G140" s="5">
        <v>9.2971887550200791E-3</v>
      </c>
      <c r="H140" s="5">
        <v>41.279518072289157</v>
      </c>
      <c r="I140" s="5">
        <v>0.4</v>
      </c>
      <c r="J140" s="5">
        <v>7</v>
      </c>
      <c r="K140" s="5"/>
      <c r="L140" s="5"/>
      <c r="M140" s="5">
        <v>700</v>
      </c>
      <c r="N140" s="5">
        <v>60</v>
      </c>
      <c r="O140" s="5">
        <v>0</v>
      </c>
      <c r="P140" s="5">
        <v>0.21</v>
      </c>
      <c r="Q140" s="5" t="s">
        <v>42</v>
      </c>
      <c r="R140" s="5">
        <v>0</v>
      </c>
      <c r="S140">
        <v>23.052796654469422</v>
      </c>
      <c r="T140">
        <v>31.228437009932048</v>
      </c>
      <c r="U140">
        <v>35.744903293256655</v>
      </c>
      <c r="V140">
        <v>9.9738630423418719</v>
      </c>
      <c r="W140" s="5">
        <v>11.96</v>
      </c>
      <c r="X140" s="5">
        <v>36.640625</v>
      </c>
      <c r="Y140" s="5">
        <v>0.64</v>
      </c>
      <c r="Z140" s="6"/>
      <c r="AA140" s="5">
        <v>39.660103626943005</v>
      </c>
      <c r="AB140" s="5">
        <v>60</v>
      </c>
    </row>
    <row r="141" spans="1:28" x14ac:dyDescent="0.2">
      <c r="A141" s="3">
        <v>140</v>
      </c>
      <c r="B141" s="4" t="s">
        <v>41</v>
      </c>
      <c r="C141" s="5">
        <v>19.3</v>
      </c>
      <c r="D141" s="5">
        <v>45.556224899598391</v>
      </c>
      <c r="E141" s="5">
        <v>5.6712851405622482</v>
      </c>
      <c r="F141" s="5">
        <v>9.2971887550200805E-2</v>
      </c>
      <c r="G141" s="5">
        <v>9.2971887550200791E-3</v>
      </c>
      <c r="H141" s="5">
        <v>41.279518072289157</v>
      </c>
      <c r="I141" s="5">
        <v>0.4</v>
      </c>
      <c r="J141" s="5">
        <v>7</v>
      </c>
      <c r="K141" s="5"/>
      <c r="L141" s="5"/>
      <c r="M141" s="5">
        <v>700</v>
      </c>
      <c r="N141" s="5">
        <v>75</v>
      </c>
      <c r="O141" s="5">
        <v>0</v>
      </c>
      <c r="P141" s="5">
        <v>0.21</v>
      </c>
      <c r="Q141" s="5" t="s">
        <v>42</v>
      </c>
      <c r="R141" s="5">
        <v>0</v>
      </c>
      <c r="S141">
        <v>24.974200206398351</v>
      </c>
      <c r="T141">
        <v>33.808049535603715</v>
      </c>
      <c r="U141">
        <v>30.980392156862745</v>
      </c>
      <c r="V141">
        <v>10.237358101135191</v>
      </c>
      <c r="W141" s="5">
        <v>11.99</v>
      </c>
      <c r="X141" s="5">
        <v>21.526315789473685</v>
      </c>
      <c r="Y141" s="5">
        <v>0.76</v>
      </c>
      <c r="Z141" s="6"/>
      <c r="AA141" s="5">
        <v>47.214507772020731</v>
      </c>
      <c r="AB141" s="5">
        <v>64</v>
      </c>
    </row>
    <row r="142" spans="1:28" x14ac:dyDescent="0.2">
      <c r="A142" s="3">
        <v>141</v>
      </c>
      <c r="B142" s="4" t="s">
        <v>41</v>
      </c>
      <c r="C142" s="5">
        <v>19.3</v>
      </c>
      <c r="D142" s="5">
        <v>45.556224899598391</v>
      </c>
      <c r="E142" s="5">
        <v>5.6712851405622482</v>
      </c>
      <c r="F142" s="5">
        <v>9.2971887550200805E-2</v>
      </c>
      <c r="G142" s="5">
        <v>9.2971887550200791E-3</v>
      </c>
      <c r="H142" s="5">
        <v>41.279518072289157</v>
      </c>
      <c r="I142" s="5">
        <v>0.4</v>
      </c>
      <c r="J142" s="5">
        <v>7</v>
      </c>
      <c r="K142" s="5"/>
      <c r="L142" s="5"/>
      <c r="M142" s="5">
        <v>700</v>
      </c>
      <c r="N142" s="5">
        <v>55</v>
      </c>
      <c r="O142" s="5">
        <v>0</v>
      </c>
      <c r="P142" s="5">
        <v>0.21</v>
      </c>
      <c r="Q142" s="5" t="s">
        <v>42</v>
      </c>
      <c r="R142" s="5">
        <v>0</v>
      </c>
      <c r="S142">
        <v>21.16087274245746</v>
      </c>
      <c r="T142">
        <v>31.955318926819089</v>
      </c>
      <c r="U142">
        <v>36.25639419563629</v>
      </c>
      <c r="V142">
        <v>10.627414135087172</v>
      </c>
      <c r="W142" s="5">
        <v>11.87</v>
      </c>
      <c r="X142" s="5">
        <v>35.17977528089888</v>
      </c>
      <c r="Y142" s="5">
        <v>0.89</v>
      </c>
      <c r="Z142" s="6"/>
      <c r="AA142" s="5">
        <v>54.737305699481858</v>
      </c>
      <c r="AB142" s="5">
        <v>81</v>
      </c>
    </row>
    <row r="143" spans="1:28" x14ac:dyDescent="0.2">
      <c r="A143" s="3">
        <v>142</v>
      </c>
      <c r="B143" s="4" t="s">
        <v>41</v>
      </c>
      <c r="C143" s="5">
        <v>19.3</v>
      </c>
      <c r="D143" s="5">
        <v>45.556224899598391</v>
      </c>
      <c r="E143" s="5">
        <v>5.6712851405622482</v>
      </c>
      <c r="F143" s="5">
        <v>9.2971887550200805E-2</v>
      </c>
      <c r="G143" s="5">
        <v>9.2971887550200791E-3</v>
      </c>
      <c r="H143" s="5">
        <v>41.279518072289157</v>
      </c>
      <c r="I143" s="5">
        <v>0.4</v>
      </c>
      <c r="J143" s="5">
        <v>7</v>
      </c>
      <c r="K143" s="5"/>
      <c r="L143" s="5"/>
      <c r="M143" s="5">
        <v>700</v>
      </c>
      <c r="N143" s="5">
        <v>68</v>
      </c>
      <c r="O143" s="5">
        <v>0</v>
      </c>
      <c r="P143" s="5">
        <v>0.21</v>
      </c>
      <c r="Q143" s="5" t="s">
        <v>42</v>
      </c>
      <c r="R143" s="5">
        <v>0</v>
      </c>
      <c r="S143">
        <v>23.705384774087065</v>
      </c>
      <c r="T143">
        <v>34.351145038167935</v>
      </c>
      <c r="U143">
        <v>31.473076129564681</v>
      </c>
      <c r="V143">
        <v>10.470394058180318</v>
      </c>
      <c r="W143" s="5">
        <v>11.81</v>
      </c>
      <c r="X143" s="5">
        <v>22.333333333333329</v>
      </c>
      <c r="Y143" s="5">
        <v>1.02</v>
      </c>
      <c r="Z143" s="6"/>
      <c r="AA143" s="5">
        <v>62.415544041450779</v>
      </c>
      <c r="AB143" s="5">
        <v>89</v>
      </c>
    </row>
    <row r="144" spans="1:28" x14ac:dyDescent="0.2">
      <c r="A144" s="3">
        <v>143</v>
      </c>
      <c r="B144" s="4" t="s">
        <v>41</v>
      </c>
      <c r="C144" s="5">
        <v>19.3</v>
      </c>
      <c r="D144" s="5">
        <v>45.556224899598391</v>
      </c>
      <c r="E144" s="5">
        <v>5.6712851405622482</v>
      </c>
      <c r="F144" s="5">
        <v>9.2971887550200805E-2</v>
      </c>
      <c r="G144" s="5">
        <v>9.2971887550200791E-3</v>
      </c>
      <c r="H144" s="5">
        <v>41.279518072289157</v>
      </c>
      <c r="I144" s="5">
        <v>0.4</v>
      </c>
      <c r="J144" s="5">
        <v>7</v>
      </c>
      <c r="K144" s="5"/>
      <c r="L144" s="5"/>
      <c r="M144" s="5">
        <v>700</v>
      </c>
      <c r="N144" s="5">
        <v>45</v>
      </c>
      <c r="O144" s="5">
        <v>0</v>
      </c>
      <c r="P144" s="5">
        <v>0.21</v>
      </c>
      <c r="Q144" s="5" t="s">
        <v>42</v>
      </c>
      <c r="R144" s="5">
        <v>0</v>
      </c>
      <c r="S144">
        <v>22.165054537970779</v>
      </c>
      <c r="T144">
        <v>32.197983124099608</v>
      </c>
      <c r="U144">
        <v>35.593743568635524</v>
      </c>
      <c r="V144">
        <v>10.043218769294091</v>
      </c>
      <c r="W144" s="5">
        <v>11.26</v>
      </c>
      <c r="X144" s="5">
        <v>33.252873563218387</v>
      </c>
      <c r="Y144" s="5">
        <v>0.87</v>
      </c>
      <c r="Z144" s="6"/>
      <c r="AA144" s="5">
        <v>50.757512953367865</v>
      </c>
      <c r="AB144" s="5">
        <v>80</v>
      </c>
    </row>
    <row r="145" spans="1:28" x14ac:dyDescent="0.2">
      <c r="A145" s="3">
        <v>144</v>
      </c>
      <c r="B145" s="4" t="s">
        <v>41</v>
      </c>
      <c r="C145" s="5">
        <v>19.3</v>
      </c>
      <c r="D145" s="5">
        <v>45.556224899598391</v>
      </c>
      <c r="E145" s="5">
        <v>5.6712851405622482</v>
      </c>
      <c r="F145" s="5">
        <v>9.2971887550200805E-2</v>
      </c>
      <c r="G145" s="5">
        <v>9.2971887550200791E-3</v>
      </c>
      <c r="H145" s="5">
        <v>41.279518072289157</v>
      </c>
      <c r="I145" s="5">
        <v>0.4</v>
      </c>
      <c r="J145" s="5">
        <v>7</v>
      </c>
      <c r="K145" s="5"/>
      <c r="L145" s="5"/>
      <c r="M145" s="5">
        <v>700</v>
      </c>
      <c r="N145" s="5">
        <v>75</v>
      </c>
      <c r="O145" s="5">
        <v>0</v>
      </c>
      <c r="P145" s="5">
        <v>0.21</v>
      </c>
      <c r="Q145" s="5" t="s">
        <v>42</v>
      </c>
      <c r="R145" s="5">
        <v>0</v>
      </c>
      <c r="S145">
        <v>23.680441898527</v>
      </c>
      <c r="T145">
        <v>34.226677577741405</v>
      </c>
      <c r="U145">
        <v>31.628477905073648</v>
      </c>
      <c r="V145">
        <v>10.464402618657937</v>
      </c>
      <c r="W145" s="5">
        <v>11.67</v>
      </c>
      <c r="X145" s="5">
        <v>20.597938144329898</v>
      </c>
      <c r="Y145" s="5">
        <v>0.97</v>
      </c>
      <c r="Z145" s="6"/>
      <c r="AA145" s="5">
        <v>58.652331606217601</v>
      </c>
      <c r="AB145" s="5">
        <v>85.1</v>
      </c>
    </row>
    <row r="146" spans="1:28" x14ac:dyDescent="0.2">
      <c r="A146" s="3">
        <v>145</v>
      </c>
      <c r="B146" s="4" t="s">
        <v>41</v>
      </c>
      <c r="C146" s="5">
        <v>19.3</v>
      </c>
      <c r="D146" s="5">
        <v>45.556224899598391</v>
      </c>
      <c r="E146" s="5">
        <v>5.6712851405622482</v>
      </c>
      <c r="F146" s="5">
        <v>9.2971887550200805E-2</v>
      </c>
      <c r="G146" s="5">
        <v>9.2971887550200791E-3</v>
      </c>
      <c r="H146" s="5">
        <v>41.279518072289157</v>
      </c>
      <c r="I146" s="5">
        <v>0.4</v>
      </c>
      <c r="J146" s="5">
        <v>7</v>
      </c>
      <c r="K146" s="5"/>
      <c r="L146" s="5"/>
      <c r="M146" s="5">
        <v>750</v>
      </c>
      <c r="N146" s="5">
        <v>40</v>
      </c>
      <c r="O146" s="5">
        <v>0</v>
      </c>
      <c r="P146" s="5">
        <v>0.25</v>
      </c>
      <c r="Q146" s="5" t="s">
        <v>42</v>
      </c>
      <c r="R146" s="5">
        <v>0</v>
      </c>
      <c r="S146">
        <v>19.018534119629315</v>
      </c>
      <c r="T146">
        <v>36.678601516427975</v>
      </c>
      <c r="U146">
        <v>33.572030328559386</v>
      </c>
      <c r="V146">
        <v>10.730834035383321</v>
      </c>
      <c r="W146" s="5">
        <v>12.63</v>
      </c>
      <c r="X146" s="5">
        <v>31.42</v>
      </c>
      <c r="Y146" s="5">
        <v>1</v>
      </c>
      <c r="Z146" s="6"/>
      <c r="AA146" s="5">
        <v>65.440414507772019</v>
      </c>
      <c r="AB146" s="5">
        <v>94.5</v>
      </c>
    </row>
    <row r="147" spans="1:28" x14ac:dyDescent="0.2">
      <c r="A147" s="3">
        <v>146</v>
      </c>
      <c r="B147" s="4" t="s">
        <v>41</v>
      </c>
      <c r="C147" s="5">
        <v>19.3</v>
      </c>
      <c r="D147" s="5">
        <v>45.556224899598391</v>
      </c>
      <c r="E147" s="5">
        <v>5.6712851405622482</v>
      </c>
      <c r="F147" s="5">
        <v>9.2971887550200805E-2</v>
      </c>
      <c r="G147" s="5">
        <v>9.2971887550200791E-3</v>
      </c>
      <c r="H147" s="5">
        <v>41.279518072289157</v>
      </c>
      <c r="I147" s="5">
        <v>0.4</v>
      </c>
      <c r="J147" s="5">
        <v>7</v>
      </c>
      <c r="K147" s="5"/>
      <c r="L147" s="5"/>
      <c r="M147" s="5">
        <v>750</v>
      </c>
      <c r="N147" s="5">
        <v>50</v>
      </c>
      <c r="O147" s="5">
        <v>0</v>
      </c>
      <c r="P147" s="5">
        <v>0.25</v>
      </c>
      <c r="Q147" s="5" t="s">
        <v>42</v>
      </c>
      <c r="R147" s="5">
        <v>0</v>
      </c>
      <c r="S147">
        <v>22.551041451845741</v>
      </c>
      <c r="T147">
        <v>34.976283769849452</v>
      </c>
      <c r="U147">
        <v>32.161270365023711</v>
      </c>
      <c r="V147">
        <v>10.311404413281089</v>
      </c>
      <c r="W147" s="5">
        <v>11.69</v>
      </c>
      <c r="X147" s="5">
        <v>20.084112149532711</v>
      </c>
      <c r="Y147" s="5">
        <v>1.07</v>
      </c>
      <c r="Z147" s="6"/>
      <c r="AA147" s="5">
        <v>64.809844559585486</v>
      </c>
      <c r="AB147" s="5">
        <v>94.59</v>
      </c>
    </row>
    <row r="148" spans="1:28" x14ac:dyDescent="0.2">
      <c r="A148" s="3">
        <v>147</v>
      </c>
      <c r="B148" s="4" t="s">
        <v>41</v>
      </c>
      <c r="C148" s="5">
        <v>19.3</v>
      </c>
      <c r="D148" s="5">
        <v>45.556224899598391</v>
      </c>
      <c r="E148" s="5">
        <v>5.6712851405622482</v>
      </c>
      <c r="F148" s="5">
        <v>9.2971887550200805E-2</v>
      </c>
      <c r="G148" s="5">
        <v>9.2971887550200791E-3</v>
      </c>
      <c r="H148" s="5">
        <v>41.279518072289157</v>
      </c>
      <c r="I148" s="5">
        <v>0.4</v>
      </c>
      <c r="J148" s="5">
        <v>7</v>
      </c>
      <c r="K148" s="5"/>
      <c r="L148" s="5"/>
      <c r="M148" s="5">
        <v>750</v>
      </c>
      <c r="N148" s="5">
        <v>50</v>
      </c>
      <c r="O148" s="5">
        <v>0</v>
      </c>
      <c r="P148" s="5">
        <v>0.24</v>
      </c>
      <c r="Q148" s="5" t="s">
        <v>42</v>
      </c>
      <c r="R148" s="5">
        <v>0</v>
      </c>
      <c r="S148">
        <v>19.91373869135283</v>
      </c>
      <c r="T148">
        <v>35.440774247843464</v>
      </c>
      <c r="U148">
        <v>34.104775930990954</v>
      </c>
      <c r="V148">
        <v>10.540711129812749</v>
      </c>
      <c r="W148" s="5">
        <v>12.43</v>
      </c>
      <c r="X148" s="5">
        <v>40.27835051546392</v>
      </c>
      <c r="Y148" s="5">
        <v>0.97</v>
      </c>
      <c r="Z148" s="6"/>
      <c r="AA148" s="5">
        <v>62.472020725388603</v>
      </c>
      <c r="AB148" s="5">
        <v>94.87</v>
      </c>
    </row>
    <row r="149" spans="1:28" x14ac:dyDescent="0.2">
      <c r="A149" s="3">
        <v>148</v>
      </c>
      <c r="B149" s="4" t="s">
        <v>41</v>
      </c>
      <c r="C149" s="5">
        <v>19.3</v>
      </c>
      <c r="D149" s="5">
        <v>45.556224899598391</v>
      </c>
      <c r="E149" s="5">
        <v>5.6712851405622482</v>
      </c>
      <c r="F149" s="5">
        <v>9.2971887550200805E-2</v>
      </c>
      <c r="G149" s="5">
        <v>9.2971887550200791E-3</v>
      </c>
      <c r="H149" s="5">
        <v>41.279518072289157</v>
      </c>
      <c r="I149" s="5">
        <v>0.4</v>
      </c>
      <c r="J149" s="5">
        <v>7</v>
      </c>
      <c r="K149" s="5"/>
      <c r="L149" s="5"/>
      <c r="M149" s="5">
        <v>750</v>
      </c>
      <c r="N149" s="5">
        <v>50</v>
      </c>
      <c r="O149" s="5">
        <v>0</v>
      </c>
      <c r="P149" s="5">
        <v>0.24</v>
      </c>
      <c r="Q149" s="5" t="s">
        <v>42</v>
      </c>
      <c r="R149" s="5">
        <v>0</v>
      </c>
      <c r="S149">
        <v>22.718325909043816</v>
      </c>
      <c r="T149">
        <v>35.512275976380394</v>
      </c>
      <c r="U149">
        <v>31.699989640526255</v>
      </c>
      <c r="V149">
        <v>10.069408474049517</v>
      </c>
      <c r="W149" s="5">
        <v>11.86</v>
      </c>
      <c r="X149" s="5">
        <v>26.36538461538461</v>
      </c>
      <c r="Y149" s="5">
        <v>1.04</v>
      </c>
      <c r="Z149" s="6"/>
      <c r="AA149" s="5">
        <v>63.908808290155442</v>
      </c>
      <c r="AB149" s="5">
        <v>91.22</v>
      </c>
    </row>
    <row r="150" spans="1:28" x14ac:dyDescent="0.2">
      <c r="A150" s="3">
        <v>149</v>
      </c>
      <c r="B150" s="4" t="s">
        <v>41</v>
      </c>
      <c r="C150" s="5">
        <v>19.3</v>
      </c>
      <c r="D150" s="5">
        <v>45.556224899598391</v>
      </c>
      <c r="E150" s="5">
        <v>5.6712851405622482</v>
      </c>
      <c r="F150" s="5">
        <v>9.2971887550200805E-2</v>
      </c>
      <c r="G150" s="5">
        <v>9.2971887550200791E-3</v>
      </c>
      <c r="H150" s="5">
        <v>41.279518072289157</v>
      </c>
      <c r="I150" s="5">
        <v>0.4</v>
      </c>
      <c r="J150" s="5">
        <v>7</v>
      </c>
      <c r="K150" s="5"/>
      <c r="L150" s="5"/>
      <c r="M150" s="5">
        <v>750</v>
      </c>
      <c r="N150" s="5">
        <v>55</v>
      </c>
      <c r="O150" s="5">
        <v>0</v>
      </c>
      <c r="P150" s="5">
        <v>0.24</v>
      </c>
      <c r="Q150" s="5" t="s">
        <v>42</v>
      </c>
      <c r="R150" s="5">
        <v>0</v>
      </c>
      <c r="S150">
        <v>21.229637414608515</v>
      </c>
      <c r="T150">
        <v>33.547031003678399</v>
      </c>
      <c r="U150">
        <v>34.881765633210712</v>
      </c>
      <c r="V150">
        <v>10.341565948502366</v>
      </c>
      <c r="W150" s="5">
        <v>12.24</v>
      </c>
      <c r="X150" s="5">
        <v>33.163265306122447</v>
      </c>
      <c r="Y150" s="5">
        <v>0.98</v>
      </c>
      <c r="Z150" s="6"/>
      <c r="AA150" s="5">
        <v>62.151295336787562</v>
      </c>
      <c r="AB150" s="5">
        <v>92.8</v>
      </c>
    </row>
    <row r="151" spans="1:28" x14ac:dyDescent="0.2">
      <c r="A151" s="3">
        <v>150</v>
      </c>
      <c r="B151" s="4" t="s">
        <v>41</v>
      </c>
      <c r="C151" s="5">
        <v>19.3</v>
      </c>
      <c r="D151" s="5">
        <v>45.556224899598391</v>
      </c>
      <c r="E151" s="5">
        <v>5.6712851405622482</v>
      </c>
      <c r="F151" s="5">
        <v>9.2971887550200805E-2</v>
      </c>
      <c r="G151" s="5">
        <v>9.2971887550200791E-3</v>
      </c>
      <c r="H151" s="5">
        <v>41.279518072289157</v>
      </c>
      <c r="I151" s="5">
        <v>0.4</v>
      </c>
      <c r="J151" s="5">
        <v>7</v>
      </c>
      <c r="K151" s="5"/>
      <c r="L151" s="5"/>
      <c r="M151" s="5">
        <v>750</v>
      </c>
      <c r="N151" s="5">
        <v>51</v>
      </c>
      <c r="O151" s="5">
        <v>0</v>
      </c>
      <c r="P151" s="5">
        <v>0.24</v>
      </c>
      <c r="Q151" s="5" t="s">
        <v>42</v>
      </c>
      <c r="R151" s="5">
        <v>0</v>
      </c>
      <c r="S151">
        <v>22.935493923340605</v>
      </c>
      <c r="T151">
        <v>35.473148436688476</v>
      </c>
      <c r="U151">
        <v>31.681728472005815</v>
      </c>
      <c r="V151">
        <v>9.9096291679650985</v>
      </c>
      <c r="W151" s="5">
        <v>11.95</v>
      </c>
      <c r="X151" s="5">
        <v>24.495238095238093</v>
      </c>
      <c r="Y151" s="5">
        <v>1.05</v>
      </c>
      <c r="Z151" s="6"/>
      <c r="AA151" s="5">
        <v>65.012953367875639</v>
      </c>
      <c r="AB151" s="5">
        <v>93.7</v>
      </c>
    </row>
    <row r="152" spans="1:28" x14ac:dyDescent="0.2">
      <c r="A152" s="3">
        <v>151</v>
      </c>
      <c r="B152" s="4" t="s">
        <v>41</v>
      </c>
      <c r="C152" s="5">
        <v>19.3</v>
      </c>
      <c r="D152" s="5">
        <v>45.556224899598391</v>
      </c>
      <c r="E152" s="5">
        <v>5.6712851405622482</v>
      </c>
      <c r="F152" s="5">
        <v>9.2971887550200805E-2</v>
      </c>
      <c r="G152" s="5">
        <v>9.2971887550200791E-3</v>
      </c>
      <c r="H152" s="5">
        <v>41.279518072289157</v>
      </c>
      <c r="I152" s="5">
        <v>0.4</v>
      </c>
      <c r="J152" s="5">
        <v>7</v>
      </c>
      <c r="K152" s="5"/>
      <c r="L152" s="5"/>
      <c r="M152" s="5">
        <v>800</v>
      </c>
      <c r="N152" s="5">
        <v>40</v>
      </c>
      <c r="O152" s="5">
        <v>0</v>
      </c>
      <c r="P152" s="5">
        <v>0.23</v>
      </c>
      <c r="Q152" s="5" t="s">
        <v>42</v>
      </c>
      <c r="R152" s="5">
        <v>0</v>
      </c>
      <c r="S152">
        <v>20.689296126613911</v>
      </c>
      <c r="T152">
        <v>38.140358184089962</v>
      </c>
      <c r="U152">
        <v>30.955851728446483</v>
      </c>
      <c r="V152">
        <v>10.214493960849644</v>
      </c>
      <c r="W152" s="5">
        <v>12.25</v>
      </c>
      <c r="X152" s="5">
        <v>35.66346153846154</v>
      </c>
      <c r="Y152" s="5">
        <v>1.04</v>
      </c>
      <c r="Z152" s="6"/>
      <c r="AA152" s="5">
        <v>66.010362694300511</v>
      </c>
      <c r="AB152" s="5">
        <v>96</v>
      </c>
    </row>
    <row r="153" spans="1:28" x14ac:dyDescent="0.2">
      <c r="A153" s="3">
        <v>152</v>
      </c>
      <c r="B153" s="4" t="s">
        <v>41</v>
      </c>
      <c r="C153" s="5">
        <v>19.3</v>
      </c>
      <c r="D153" s="5">
        <v>45.556224899598391</v>
      </c>
      <c r="E153" s="5">
        <v>5.6712851405622482</v>
      </c>
      <c r="F153" s="5">
        <v>9.2971887550200805E-2</v>
      </c>
      <c r="G153" s="5">
        <v>9.2971887550200791E-3</v>
      </c>
      <c r="H153" s="5">
        <v>41.279518072289157</v>
      </c>
      <c r="I153" s="5">
        <v>0.4</v>
      </c>
      <c r="J153" s="5">
        <v>7</v>
      </c>
      <c r="K153" s="5"/>
      <c r="L153" s="5"/>
      <c r="M153" s="5">
        <v>800</v>
      </c>
      <c r="N153" s="5">
        <v>54</v>
      </c>
      <c r="O153" s="5">
        <v>0</v>
      </c>
      <c r="P153" s="5">
        <v>0.23</v>
      </c>
      <c r="Q153" s="5" t="s">
        <v>42</v>
      </c>
      <c r="R153" s="5">
        <v>0</v>
      </c>
      <c r="S153">
        <v>23.124294365185261</v>
      </c>
      <c r="T153">
        <v>36.65195524992302</v>
      </c>
      <c r="U153">
        <v>30.031817715282767</v>
      </c>
      <c r="V153">
        <v>10.191932669608949</v>
      </c>
      <c r="W153" s="5">
        <v>11.68</v>
      </c>
      <c r="X153" s="5">
        <v>21.401785714285712</v>
      </c>
      <c r="Y153" s="5">
        <v>1.1200000000000001</v>
      </c>
      <c r="Z153" s="6"/>
      <c r="AA153" s="5">
        <v>67.78031088082902</v>
      </c>
      <c r="AB153" s="5">
        <v>98</v>
      </c>
    </row>
    <row r="154" spans="1:28" x14ac:dyDescent="0.2">
      <c r="A154" s="3">
        <v>153</v>
      </c>
      <c r="B154" s="4" t="s">
        <v>41</v>
      </c>
      <c r="C154" s="5">
        <v>19.3</v>
      </c>
      <c r="D154" s="5">
        <v>45.556224899598391</v>
      </c>
      <c r="E154" s="5">
        <v>5.6712851405622482</v>
      </c>
      <c r="F154" s="5">
        <v>9.2971887550200805E-2</v>
      </c>
      <c r="G154" s="5">
        <v>9.2971887550200791E-3</v>
      </c>
      <c r="H154" s="5">
        <v>41.279518072289157</v>
      </c>
      <c r="I154" s="5">
        <v>0.4</v>
      </c>
      <c r="J154" s="5">
        <v>7</v>
      </c>
      <c r="K154" s="5"/>
      <c r="L154" s="5"/>
      <c r="M154" s="5">
        <v>800</v>
      </c>
      <c r="N154" s="5">
        <v>45</v>
      </c>
      <c r="O154" s="5">
        <v>0</v>
      </c>
      <c r="P154" s="5">
        <v>0.23</v>
      </c>
      <c r="Q154" s="5" t="s">
        <v>42</v>
      </c>
      <c r="R154" s="5">
        <v>0</v>
      </c>
      <c r="S154">
        <v>21.56292216564481</v>
      </c>
      <c r="T154">
        <v>35.498285357996465</v>
      </c>
      <c r="U154">
        <v>33.066611243894833</v>
      </c>
      <c r="V154">
        <v>9.8721812324638876</v>
      </c>
      <c r="W154" s="5">
        <v>11.82</v>
      </c>
      <c r="X154" s="5">
        <v>26.970297029702969</v>
      </c>
      <c r="Y154" s="5">
        <v>1.01</v>
      </c>
      <c r="Z154" s="6"/>
      <c r="AA154" s="5">
        <v>61.855958549222791</v>
      </c>
      <c r="AB154" s="5">
        <v>86</v>
      </c>
    </row>
    <row r="155" spans="1:28" x14ac:dyDescent="0.2">
      <c r="A155" s="3">
        <v>154</v>
      </c>
      <c r="B155" s="4" t="s">
        <v>41</v>
      </c>
      <c r="C155" s="5">
        <v>19.3</v>
      </c>
      <c r="D155" s="5">
        <v>45.556224899598391</v>
      </c>
      <c r="E155" s="5">
        <v>5.6712851405622482</v>
      </c>
      <c r="F155" s="5">
        <v>9.2971887550200805E-2</v>
      </c>
      <c r="G155" s="5">
        <v>9.2971887550200791E-3</v>
      </c>
      <c r="H155" s="5">
        <v>41.279518072289157</v>
      </c>
      <c r="I155" s="5">
        <v>0.4</v>
      </c>
      <c r="J155" s="5">
        <v>7</v>
      </c>
      <c r="K155" s="5"/>
      <c r="L155" s="5"/>
      <c r="M155" s="5">
        <v>800</v>
      </c>
      <c r="N155" s="5">
        <v>45</v>
      </c>
      <c r="O155" s="5">
        <v>0</v>
      </c>
      <c r="P155" s="5">
        <v>0.23</v>
      </c>
      <c r="Q155" s="5" t="s">
        <v>42</v>
      </c>
      <c r="R155" s="5">
        <v>0</v>
      </c>
      <c r="S155">
        <v>22.809543397778693</v>
      </c>
      <c r="T155">
        <v>34.913615795968745</v>
      </c>
      <c r="U155">
        <v>32.856849033319627</v>
      </c>
      <c r="V155">
        <v>9.4199917729329492</v>
      </c>
      <c r="W155" s="5">
        <v>11.23</v>
      </c>
      <c r="X155" s="5">
        <v>22.323232323232325</v>
      </c>
      <c r="Y155" s="5">
        <v>0.99</v>
      </c>
      <c r="Z155" s="6"/>
      <c r="AA155" s="5">
        <v>57.604663212435241</v>
      </c>
      <c r="AB155" s="5">
        <v>87</v>
      </c>
    </row>
    <row r="156" spans="1:28" x14ac:dyDescent="0.2">
      <c r="A156" s="3">
        <v>155</v>
      </c>
      <c r="B156" s="4" t="s">
        <v>41</v>
      </c>
      <c r="C156" s="5">
        <v>19.3</v>
      </c>
      <c r="D156" s="5">
        <v>45.556224899598391</v>
      </c>
      <c r="E156" s="5">
        <v>5.6712851405622482</v>
      </c>
      <c r="F156" s="5">
        <v>9.2971887550200805E-2</v>
      </c>
      <c r="G156" s="5">
        <v>9.2971887550200791E-3</v>
      </c>
      <c r="H156" s="5">
        <v>41.279518072289157</v>
      </c>
      <c r="I156" s="5">
        <v>0.4</v>
      </c>
      <c r="J156" s="5">
        <v>7</v>
      </c>
      <c r="K156" s="5"/>
      <c r="L156" s="5"/>
      <c r="M156" s="5">
        <v>800</v>
      </c>
      <c r="N156" s="5">
        <v>30</v>
      </c>
      <c r="O156" s="5">
        <v>0</v>
      </c>
      <c r="P156" s="5">
        <v>0.22</v>
      </c>
      <c r="Q156" s="5" t="s">
        <v>42</v>
      </c>
      <c r="R156" s="5">
        <v>0</v>
      </c>
      <c r="S156">
        <v>20.689296126613911</v>
      </c>
      <c r="T156">
        <v>38.140358184089962</v>
      </c>
      <c r="U156">
        <v>30.955851728446483</v>
      </c>
      <c r="V156">
        <v>10.214493960849644</v>
      </c>
      <c r="W156" s="5">
        <v>12.25</v>
      </c>
      <c r="X156" s="5">
        <v>33.762376237623762</v>
      </c>
      <c r="Y156" s="5">
        <v>1.01</v>
      </c>
      <c r="Z156" s="6"/>
      <c r="AA156" s="5">
        <v>64.106217616580309</v>
      </c>
      <c r="AB156" s="5">
        <v>91</v>
      </c>
    </row>
    <row r="157" spans="1:28" x14ac:dyDescent="0.2">
      <c r="A157" s="3">
        <v>156</v>
      </c>
      <c r="B157" s="4" t="s">
        <v>41</v>
      </c>
      <c r="C157" s="5">
        <v>19.3</v>
      </c>
      <c r="D157" s="5">
        <v>45.556224899598391</v>
      </c>
      <c r="E157" s="5">
        <v>5.6712851405622482</v>
      </c>
      <c r="F157" s="5">
        <v>9.2971887550200805E-2</v>
      </c>
      <c r="G157" s="5">
        <v>9.2971887550200791E-3</v>
      </c>
      <c r="H157" s="5">
        <v>41.279518072289157</v>
      </c>
      <c r="I157" s="5">
        <v>0.4</v>
      </c>
      <c r="J157" s="5">
        <v>7</v>
      </c>
      <c r="K157" s="5"/>
      <c r="L157" s="5"/>
      <c r="M157" s="5">
        <v>800</v>
      </c>
      <c r="N157" s="5">
        <v>61</v>
      </c>
      <c r="O157" s="5">
        <v>0</v>
      </c>
      <c r="P157" s="5">
        <v>0.22</v>
      </c>
      <c r="Q157" s="5" t="s">
        <v>42</v>
      </c>
      <c r="R157" s="5">
        <v>0</v>
      </c>
      <c r="S157">
        <v>23.24067376252971</v>
      </c>
      <c r="T157">
        <v>36.106231270021702</v>
      </c>
      <c r="U157">
        <v>30.608659708587378</v>
      </c>
      <c r="V157">
        <v>10.044435258861219</v>
      </c>
      <c r="W157" s="5">
        <v>11.84</v>
      </c>
      <c r="X157" s="5">
        <v>24.292452830188676</v>
      </c>
      <c r="Y157" s="5">
        <v>1.06</v>
      </c>
      <c r="Z157" s="6"/>
      <c r="AA157" s="5">
        <v>65.027979274611397</v>
      </c>
      <c r="AB157" s="5">
        <v>94</v>
      </c>
    </row>
    <row r="158" spans="1:28" x14ac:dyDescent="0.2">
      <c r="A158" s="3">
        <v>157</v>
      </c>
      <c r="B158" s="4" t="s">
        <v>43</v>
      </c>
      <c r="C158" s="5">
        <v>20.286999999999999</v>
      </c>
      <c r="D158" s="5">
        <v>48.887916000000004</v>
      </c>
      <c r="E158" s="5">
        <v>5.435136</v>
      </c>
      <c r="F158" s="5">
        <v>0.245336</v>
      </c>
      <c r="G158" s="5">
        <v>0.339696</v>
      </c>
      <c r="H158" s="5">
        <v>39.451916000000004</v>
      </c>
      <c r="I158" s="5">
        <v>5.64</v>
      </c>
      <c r="J158" s="5">
        <v>0</v>
      </c>
      <c r="K158" s="5">
        <v>79.900000000000006</v>
      </c>
      <c r="L158" s="5">
        <v>14.46</v>
      </c>
      <c r="M158" s="5">
        <v>700</v>
      </c>
      <c r="N158" s="5" t="s">
        <v>22</v>
      </c>
      <c r="O158" s="5">
        <v>1.1613790000000002</v>
      </c>
      <c r="P158" s="5">
        <v>0</v>
      </c>
      <c r="Q158" s="5" t="s">
        <v>44</v>
      </c>
      <c r="R158" s="5">
        <v>0</v>
      </c>
      <c r="S158">
        <v>36.219382321618745</v>
      </c>
      <c r="T158">
        <v>12.076677316293932</v>
      </c>
      <c r="U158">
        <v>40.734824281150161</v>
      </c>
      <c r="V158">
        <v>10.969116080937169</v>
      </c>
      <c r="W158" s="5">
        <v>12.422706499999999</v>
      </c>
      <c r="X158" s="5">
        <v>94.090909090909093</v>
      </c>
      <c r="Y158" s="5">
        <v>0.88</v>
      </c>
      <c r="Z158" s="5">
        <v>175</v>
      </c>
      <c r="AA158" s="5">
        <v>53.886635382264501</v>
      </c>
      <c r="AB158" s="5">
        <v>65.599999999999994</v>
      </c>
    </row>
    <row r="159" spans="1:28" x14ac:dyDescent="0.2">
      <c r="A159" s="3">
        <v>158</v>
      </c>
      <c r="B159" s="4" t="s">
        <v>43</v>
      </c>
      <c r="C159" s="5">
        <v>20.286999999999999</v>
      </c>
      <c r="D159" s="5">
        <v>48.887916000000004</v>
      </c>
      <c r="E159" s="5">
        <v>5.435136</v>
      </c>
      <c r="F159" s="5">
        <v>0.245336</v>
      </c>
      <c r="G159" s="5">
        <v>0.339696</v>
      </c>
      <c r="H159" s="5">
        <v>39.451916000000004</v>
      </c>
      <c r="I159" s="5">
        <v>5.64</v>
      </c>
      <c r="J159" s="5">
        <v>0</v>
      </c>
      <c r="K159" s="5">
        <v>79.900000000000006</v>
      </c>
      <c r="L159" s="5">
        <v>14.46</v>
      </c>
      <c r="M159" s="5">
        <v>750</v>
      </c>
      <c r="N159" s="5" t="s">
        <v>22</v>
      </c>
      <c r="O159" s="5">
        <v>1.1613790000000002</v>
      </c>
      <c r="P159" s="5">
        <v>0</v>
      </c>
      <c r="Q159" s="5" t="s">
        <v>44</v>
      </c>
      <c r="R159" s="5">
        <v>0</v>
      </c>
      <c r="S159">
        <v>41.990039427267064</v>
      </c>
      <c r="T159">
        <v>13.758041087362525</v>
      </c>
      <c r="U159">
        <v>38.140693089852668</v>
      </c>
      <c r="V159">
        <v>6.1112263955177424</v>
      </c>
      <c r="W159" s="5">
        <v>10.304867999999999</v>
      </c>
      <c r="X159" s="5">
        <v>63.157894736842103</v>
      </c>
      <c r="Y159" s="5">
        <v>0.95</v>
      </c>
      <c r="Z159" s="5">
        <v>170</v>
      </c>
      <c r="AA159" s="5">
        <v>48.25565435993493</v>
      </c>
      <c r="AB159" s="5">
        <v>62.03</v>
      </c>
    </row>
    <row r="160" spans="1:28" x14ac:dyDescent="0.2">
      <c r="A160" s="3">
        <v>159</v>
      </c>
      <c r="B160" s="4" t="s">
        <v>43</v>
      </c>
      <c r="C160" s="5">
        <v>20.286999999999999</v>
      </c>
      <c r="D160" s="5">
        <v>48.887916000000004</v>
      </c>
      <c r="E160" s="5">
        <v>5.435136</v>
      </c>
      <c r="F160" s="5">
        <v>0.245336</v>
      </c>
      <c r="G160" s="5">
        <v>0.339696</v>
      </c>
      <c r="H160" s="5">
        <v>39.451916000000004</v>
      </c>
      <c r="I160" s="5">
        <v>5.64</v>
      </c>
      <c r="J160" s="5">
        <v>0</v>
      </c>
      <c r="K160" s="5">
        <v>79.900000000000006</v>
      </c>
      <c r="L160" s="5">
        <v>14.46</v>
      </c>
      <c r="M160" s="5">
        <v>800</v>
      </c>
      <c r="N160" s="5" t="s">
        <v>22</v>
      </c>
      <c r="O160" s="5">
        <v>1.1613790000000002</v>
      </c>
      <c r="P160" s="5">
        <v>0</v>
      </c>
      <c r="Q160" s="5" t="s">
        <v>44</v>
      </c>
      <c r="R160" s="5">
        <v>0</v>
      </c>
      <c r="S160">
        <v>48.14316747698355</v>
      </c>
      <c r="T160">
        <v>15.154649839660703</v>
      </c>
      <c r="U160">
        <v>33.733319540705494</v>
      </c>
      <c r="V160">
        <v>2.9688631426502536</v>
      </c>
      <c r="W160" s="5">
        <v>9.8789028999999999</v>
      </c>
      <c r="X160" s="5">
        <v>31.25</v>
      </c>
      <c r="Y160" s="5">
        <v>1.28</v>
      </c>
      <c r="Z160" s="5">
        <v>155</v>
      </c>
      <c r="AA160" s="5">
        <v>62.330535377335245</v>
      </c>
      <c r="AB160" s="5">
        <v>75.16</v>
      </c>
    </row>
    <row r="161" spans="1:28" x14ac:dyDescent="0.2">
      <c r="A161" s="3">
        <v>160</v>
      </c>
      <c r="B161" s="4" t="s">
        <v>43</v>
      </c>
      <c r="C161" s="5">
        <v>20.286999999999999</v>
      </c>
      <c r="D161" s="5">
        <v>48.887916000000004</v>
      </c>
      <c r="E161" s="5">
        <v>5.435136</v>
      </c>
      <c r="F161" s="5">
        <v>0.245336</v>
      </c>
      <c r="G161" s="5">
        <v>0.339696</v>
      </c>
      <c r="H161" s="5">
        <v>39.451916000000004</v>
      </c>
      <c r="I161" s="5">
        <v>5.64</v>
      </c>
      <c r="J161" s="5">
        <v>0</v>
      </c>
      <c r="K161" s="5">
        <v>79.900000000000006</v>
      </c>
      <c r="L161" s="5">
        <v>14.46</v>
      </c>
      <c r="M161" s="5">
        <v>850</v>
      </c>
      <c r="N161" s="5" t="s">
        <v>22</v>
      </c>
      <c r="O161" s="5">
        <v>1.1613790000000002</v>
      </c>
      <c r="P161" s="5">
        <v>0</v>
      </c>
      <c r="Q161" s="5" t="s">
        <v>44</v>
      </c>
      <c r="R161" s="5">
        <v>0</v>
      </c>
      <c r="S161">
        <v>52.639160407449324</v>
      </c>
      <c r="T161">
        <v>16.112768803374834</v>
      </c>
      <c r="U161">
        <v>29.046198168535859</v>
      </c>
      <c r="V161">
        <v>2.2018726206399837</v>
      </c>
      <c r="W161" s="5">
        <v>9.9335484999999988</v>
      </c>
      <c r="X161" s="5">
        <v>3.1818181818181821</v>
      </c>
      <c r="Y161" s="5">
        <v>1.32</v>
      </c>
      <c r="Z161" s="5">
        <v>100</v>
      </c>
      <c r="AA161" s="5">
        <v>64.633923300635871</v>
      </c>
      <c r="AB161" s="5">
        <v>70.5</v>
      </c>
    </row>
    <row r="162" spans="1:28" x14ac:dyDescent="0.2">
      <c r="A162" s="3">
        <v>161</v>
      </c>
      <c r="B162" s="4" t="s">
        <v>43</v>
      </c>
      <c r="C162" s="5">
        <v>20.286999999999999</v>
      </c>
      <c r="D162" s="5">
        <v>48.887916000000004</v>
      </c>
      <c r="E162" s="5">
        <v>5.435136</v>
      </c>
      <c r="F162" s="5">
        <v>0.245336</v>
      </c>
      <c r="G162" s="5">
        <v>0.339696</v>
      </c>
      <c r="H162" s="5">
        <v>39.451916000000004</v>
      </c>
      <c r="I162" s="5">
        <v>5.64</v>
      </c>
      <c r="J162" s="5">
        <v>0</v>
      </c>
      <c r="K162" s="5">
        <v>79.900000000000006</v>
      </c>
      <c r="L162" s="5">
        <v>14.46</v>
      </c>
      <c r="M162" s="5">
        <v>900</v>
      </c>
      <c r="N162" s="5" t="s">
        <v>22</v>
      </c>
      <c r="O162" s="5">
        <v>1.1613790000000002</v>
      </c>
      <c r="P162" s="5">
        <v>0</v>
      </c>
      <c r="Q162" s="5" t="s">
        <v>44</v>
      </c>
      <c r="R162" s="5">
        <v>0</v>
      </c>
      <c r="S162">
        <v>54.834142394822003</v>
      </c>
      <c r="T162">
        <v>22.97734627831715</v>
      </c>
      <c r="U162">
        <v>20.843446601941746</v>
      </c>
      <c r="V162">
        <v>1.3450647249190939</v>
      </c>
      <c r="W162" s="5">
        <v>9.8599224999999997</v>
      </c>
      <c r="X162" s="5">
        <v>0</v>
      </c>
      <c r="Y162" s="5">
        <v>1.75</v>
      </c>
      <c r="Z162" s="5">
        <v>90</v>
      </c>
      <c r="AA162" s="5">
        <v>85.053799847192792</v>
      </c>
      <c r="AB162" s="5">
        <v>84.87</v>
      </c>
    </row>
    <row r="163" spans="1:28" x14ac:dyDescent="0.2">
      <c r="A163" s="3">
        <v>162</v>
      </c>
      <c r="B163" s="4" t="s">
        <v>43</v>
      </c>
      <c r="C163" s="5">
        <v>20.286999999999999</v>
      </c>
      <c r="D163" s="5">
        <v>48.887916000000004</v>
      </c>
      <c r="E163" s="5">
        <v>5.435136</v>
      </c>
      <c r="F163" s="5">
        <v>0.245336</v>
      </c>
      <c r="G163" s="5">
        <v>0.339696</v>
      </c>
      <c r="H163" s="5">
        <v>39.451916000000004</v>
      </c>
      <c r="I163" s="5">
        <v>5.64</v>
      </c>
      <c r="J163" s="5">
        <v>0</v>
      </c>
      <c r="K163" s="5">
        <v>79.900000000000006</v>
      </c>
      <c r="L163" s="5">
        <v>14.46</v>
      </c>
      <c r="M163" s="5">
        <v>900</v>
      </c>
      <c r="N163" s="5" t="s">
        <v>22</v>
      </c>
      <c r="O163" s="5">
        <v>0.25058800000000003</v>
      </c>
      <c r="P163" s="5">
        <v>0</v>
      </c>
      <c r="Q163" s="5" t="s">
        <v>44</v>
      </c>
      <c r="R163" s="5">
        <v>0</v>
      </c>
      <c r="S163">
        <v>39.045597007380444</v>
      </c>
      <c r="T163">
        <v>48.094227075118795</v>
      </c>
      <c r="U163">
        <v>12.243453644727529</v>
      </c>
      <c r="V163">
        <v>0.61672227277322811</v>
      </c>
      <c r="W163" s="5">
        <v>11.040880299999996</v>
      </c>
      <c r="X163" s="5">
        <v>14.87179487179487</v>
      </c>
      <c r="Y163" s="5">
        <v>0.78</v>
      </c>
      <c r="Z163" s="5">
        <v>145.39999999999998</v>
      </c>
      <c r="AA163" s="5">
        <v>42.450271770099071</v>
      </c>
      <c r="AB163" s="5">
        <v>50.38</v>
      </c>
    </row>
    <row r="164" spans="1:28" x14ac:dyDescent="0.2">
      <c r="A164" s="3">
        <v>163</v>
      </c>
      <c r="B164" s="4" t="s">
        <v>43</v>
      </c>
      <c r="C164" s="5">
        <v>20.286999999999999</v>
      </c>
      <c r="D164" s="5">
        <v>48.887916000000004</v>
      </c>
      <c r="E164" s="5">
        <v>5.435136</v>
      </c>
      <c r="F164" s="5">
        <v>0.245336</v>
      </c>
      <c r="G164" s="5">
        <v>0.339696</v>
      </c>
      <c r="H164" s="5">
        <v>39.451916000000004</v>
      </c>
      <c r="I164" s="5">
        <v>5.64</v>
      </c>
      <c r="J164" s="5">
        <v>0</v>
      </c>
      <c r="K164" s="5">
        <v>79.900000000000006</v>
      </c>
      <c r="L164" s="5">
        <v>14.46</v>
      </c>
      <c r="M164" s="5">
        <v>900</v>
      </c>
      <c r="N164" s="5" t="s">
        <v>22</v>
      </c>
      <c r="O164" s="5">
        <v>0.40479599999999999</v>
      </c>
      <c r="P164" s="5">
        <v>0</v>
      </c>
      <c r="Q164" s="5" t="s">
        <v>44</v>
      </c>
      <c r="R164" s="5">
        <v>0</v>
      </c>
      <c r="S164">
        <v>41.345862382540169</v>
      </c>
      <c r="T164">
        <v>42.770536526220063</v>
      </c>
      <c r="U164">
        <v>13.418207537637667</v>
      </c>
      <c r="V164">
        <v>2.4653935536021017</v>
      </c>
      <c r="W164" s="5">
        <v>11.247904799999999</v>
      </c>
      <c r="X164" s="5">
        <v>6.7032967032967017</v>
      </c>
      <c r="Y164" s="5">
        <v>0.91</v>
      </c>
      <c r="Z164" s="5">
        <v>131.1</v>
      </c>
      <c r="AA164" s="5">
        <v>50.453952619904371</v>
      </c>
      <c r="AB164" s="5">
        <v>54.68</v>
      </c>
    </row>
    <row r="165" spans="1:28" x14ac:dyDescent="0.2">
      <c r="A165" s="3">
        <v>164</v>
      </c>
      <c r="B165" s="4" t="s">
        <v>43</v>
      </c>
      <c r="C165" s="5">
        <v>20.286999999999999</v>
      </c>
      <c r="D165" s="5">
        <v>48.887916000000004</v>
      </c>
      <c r="E165" s="5">
        <v>5.435136</v>
      </c>
      <c r="F165" s="5">
        <v>0.245336</v>
      </c>
      <c r="G165" s="5">
        <v>0.339696</v>
      </c>
      <c r="H165" s="5">
        <v>39.451916000000004</v>
      </c>
      <c r="I165" s="5">
        <v>5.64</v>
      </c>
      <c r="J165" s="5">
        <v>0</v>
      </c>
      <c r="K165" s="5">
        <v>79.900000000000006</v>
      </c>
      <c r="L165" s="5">
        <v>14.46</v>
      </c>
      <c r="M165" s="5">
        <v>900</v>
      </c>
      <c r="N165" s="5" t="s">
        <v>22</v>
      </c>
      <c r="O165" s="5">
        <v>0.73248800000000003</v>
      </c>
      <c r="P165" s="5">
        <v>0</v>
      </c>
      <c r="Q165" s="5" t="s">
        <v>44</v>
      </c>
      <c r="R165" s="5">
        <v>0</v>
      </c>
      <c r="S165">
        <v>53.437436625430955</v>
      </c>
      <c r="T165">
        <v>26.272561346582847</v>
      </c>
      <c r="U165">
        <v>17.998377611032247</v>
      </c>
      <c r="V165">
        <v>2.2916244169539643</v>
      </c>
      <c r="W165" s="5">
        <v>10.587313699999999</v>
      </c>
      <c r="X165" s="5">
        <v>0</v>
      </c>
      <c r="Y165" s="5">
        <v>1.1399999999999999</v>
      </c>
      <c r="Z165" s="5">
        <v>96.7</v>
      </c>
      <c r="AA165" s="5">
        <v>59.493949908808595</v>
      </c>
      <c r="AB165" s="5">
        <v>57.38</v>
      </c>
    </row>
    <row r="166" spans="1:28" x14ac:dyDescent="0.2">
      <c r="A166" s="3">
        <v>165</v>
      </c>
      <c r="B166" s="4" t="s">
        <v>43</v>
      </c>
      <c r="C166" s="5">
        <v>20.286999999999999</v>
      </c>
      <c r="D166" s="5">
        <v>48.887916000000004</v>
      </c>
      <c r="E166" s="5">
        <v>5.435136</v>
      </c>
      <c r="F166" s="5">
        <v>0.245336</v>
      </c>
      <c r="G166" s="5">
        <v>0.339696</v>
      </c>
      <c r="H166" s="5">
        <v>39.451916000000004</v>
      </c>
      <c r="I166" s="5">
        <v>5.64</v>
      </c>
      <c r="J166" s="5">
        <v>0</v>
      </c>
      <c r="K166" s="5">
        <v>79.900000000000006</v>
      </c>
      <c r="L166" s="5">
        <v>14.46</v>
      </c>
      <c r="M166" s="5">
        <v>900</v>
      </c>
      <c r="N166" s="5" t="s">
        <v>22</v>
      </c>
      <c r="O166" s="5">
        <v>0.90597199999999989</v>
      </c>
      <c r="P166" s="5">
        <v>0</v>
      </c>
      <c r="Q166" s="5" t="s">
        <v>44</v>
      </c>
      <c r="R166" s="5">
        <v>0</v>
      </c>
      <c r="S166">
        <v>54.129453085800293</v>
      </c>
      <c r="T166">
        <v>23.652784746613143</v>
      </c>
      <c r="U166">
        <v>20.873055694932262</v>
      </c>
      <c r="V166">
        <v>1.3447064726542899</v>
      </c>
      <c r="W166" s="5">
        <v>9.4828799999999998</v>
      </c>
      <c r="X166" s="5">
        <v>0</v>
      </c>
      <c r="Y166" s="5">
        <v>1.31</v>
      </c>
      <c r="Z166" s="5">
        <v>96.199999999999989</v>
      </c>
      <c r="AA166" s="5">
        <v>61.234153891654756</v>
      </c>
      <c r="AB166" s="5">
        <v>62.86</v>
      </c>
    </row>
    <row r="167" spans="1:28" x14ac:dyDescent="0.2">
      <c r="A167" s="3">
        <v>166</v>
      </c>
      <c r="B167" s="4" t="s">
        <v>43</v>
      </c>
      <c r="C167" s="5">
        <v>20.286999999999999</v>
      </c>
      <c r="D167" s="5">
        <v>48.887916000000004</v>
      </c>
      <c r="E167" s="5">
        <v>5.435136</v>
      </c>
      <c r="F167" s="5">
        <v>0.245336</v>
      </c>
      <c r="G167" s="5">
        <v>0.339696</v>
      </c>
      <c r="H167" s="5">
        <v>39.451916000000004</v>
      </c>
      <c r="I167" s="5">
        <v>5.64</v>
      </c>
      <c r="J167" s="5">
        <v>0</v>
      </c>
      <c r="K167" s="5">
        <v>79.900000000000006</v>
      </c>
      <c r="L167" s="5">
        <v>14.46</v>
      </c>
      <c r="M167" s="5">
        <v>900</v>
      </c>
      <c r="N167" s="5" t="s">
        <v>22</v>
      </c>
      <c r="O167" s="5">
        <v>1.1613790000000002</v>
      </c>
      <c r="P167" s="5">
        <v>0</v>
      </c>
      <c r="Q167" s="5" t="s">
        <v>44</v>
      </c>
      <c r="R167" s="5">
        <v>0</v>
      </c>
      <c r="S167">
        <v>54.834142394822003</v>
      </c>
      <c r="T167">
        <v>22.97734627831715</v>
      </c>
      <c r="U167">
        <v>20.843446601941746</v>
      </c>
      <c r="V167">
        <v>1.3450647249190939</v>
      </c>
      <c r="W167" s="5">
        <v>9.8599224999999997</v>
      </c>
      <c r="X167" s="5">
        <v>0</v>
      </c>
      <c r="Y167" s="5">
        <v>1.75</v>
      </c>
      <c r="Z167" s="5">
        <v>94.5</v>
      </c>
      <c r="AA167" s="5">
        <v>85.053799847192792</v>
      </c>
      <c r="AB167" s="5">
        <v>84.87</v>
      </c>
    </row>
    <row r="168" spans="1:28" x14ac:dyDescent="0.2">
      <c r="A168" s="3">
        <v>167</v>
      </c>
      <c r="B168" s="4" t="s">
        <v>45</v>
      </c>
      <c r="C168" s="5">
        <v>17.19534349576</v>
      </c>
      <c r="D168" s="5">
        <v>42.816192000000001</v>
      </c>
      <c r="E168" s="5">
        <v>4.8893439999999995</v>
      </c>
      <c r="F168" s="5">
        <v>0.87801600000000002</v>
      </c>
      <c r="G168" s="5">
        <v>0.23241600000000001</v>
      </c>
      <c r="H168" s="5">
        <v>37.324288000000003</v>
      </c>
      <c r="I168" s="5">
        <v>4.3099999999999996</v>
      </c>
      <c r="J168" s="5">
        <v>9.61</v>
      </c>
      <c r="K168" s="5">
        <v>80.92</v>
      </c>
      <c r="L168" s="5">
        <v>14.67</v>
      </c>
      <c r="M168" s="5">
        <v>675</v>
      </c>
      <c r="N168" s="5"/>
      <c r="O168" s="5">
        <v>2</v>
      </c>
      <c r="P168" s="5">
        <v>0</v>
      </c>
      <c r="Q168" s="5" t="s">
        <v>44</v>
      </c>
      <c r="R168" s="5">
        <v>11.688997524871017</v>
      </c>
      <c r="S168">
        <v>62.507498500299938</v>
      </c>
      <c r="T168">
        <v>14.367126574685063</v>
      </c>
      <c r="U168">
        <v>11.517696460707857</v>
      </c>
      <c r="V168">
        <v>11.607678464307138</v>
      </c>
      <c r="W168" s="6">
        <v>12.72</v>
      </c>
      <c r="X168" s="6"/>
      <c r="Y168" s="5">
        <v>0.63</v>
      </c>
      <c r="Z168" s="5">
        <v>62.98</v>
      </c>
      <c r="AA168" s="5">
        <v>46.603314449496054</v>
      </c>
      <c r="AB168" s="5">
        <v>23.12</v>
      </c>
    </row>
    <row r="169" spans="1:28" x14ac:dyDescent="0.2">
      <c r="A169" s="3">
        <v>168</v>
      </c>
      <c r="B169" s="4" t="s">
        <v>45</v>
      </c>
      <c r="C169" s="5">
        <v>17.19534349576</v>
      </c>
      <c r="D169" s="5">
        <v>42.816192000000001</v>
      </c>
      <c r="E169" s="5">
        <v>4.8893439999999995</v>
      </c>
      <c r="F169" s="5">
        <v>0.87801600000000002</v>
      </c>
      <c r="G169" s="5">
        <v>0.23241600000000001</v>
      </c>
      <c r="H169" s="5">
        <v>37.324288000000003</v>
      </c>
      <c r="I169" s="5">
        <v>4.3099999999999996</v>
      </c>
      <c r="J169" s="5">
        <v>9.61</v>
      </c>
      <c r="K169" s="5">
        <v>80.92</v>
      </c>
      <c r="L169" s="5">
        <v>14.67</v>
      </c>
      <c r="M169" s="5">
        <v>675</v>
      </c>
      <c r="N169" s="5"/>
      <c r="O169" s="5">
        <v>2</v>
      </c>
      <c r="P169" s="5">
        <v>0</v>
      </c>
      <c r="Q169" s="5" t="s">
        <v>44</v>
      </c>
      <c r="R169" s="5">
        <v>12.964626114068679</v>
      </c>
      <c r="S169">
        <v>82.118211821182129</v>
      </c>
      <c r="T169">
        <v>6.4506450645064524</v>
      </c>
      <c r="U169">
        <v>0</v>
      </c>
      <c r="V169">
        <v>11.431143114311432</v>
      </c>
      <c r="W169" s="6">
        <v>13.78</v>
      </c>
      <c r="X169" s="6"/>
      <c r="Y169" s="5">
        <v>1.19</v>
      </c>
      <c r="Z169" s="5">
        <v>27.33</v>
      </c>
      <c r="AA169" s="5">
        <v>95.364189753135449</v>
      </c>
      <c r="AB169" s="5">
        <v>20.96</v>
      </c>
    </row>
    <row r="170" spans="1:28" x14ac:dyDescent="0.2">
      <c r="A170" s="3">
        <v>169</v>
      </c>
      <c r="B170" s="4" t="s">
        <v>45</v>
      </c>
      <c r="C170" s="5">
        <v>17.19534349576</v>
      </c>
      <c r="D170" s="5">
        <v>42.816192000000001</v>
      </c>
      <c r="E170" s="5">
        <v>4.8893439999999995</v>
      </c>
      <c r="F170" s="5">
        <v>0.87801600000000002</v>
      </c>
      <c r="G170" s="5">
        <v>0.23241600000000001</v>
      </c>
      <c r="H170" s="5">
        <v>37.324288000000003</v>
      </c>
      <c r="I170" s="5">
        <v>4.3099999999999996</v>
      </c>
      <c r="J170" s="5">
        <v>9.61</v>
      </c>
      <c r="K170" s="5">
        <v>80.92</v>
      </c>
      <c r="L170" s="5">
        <v>14.67</v>
      </c>
      <c r="M170" s="5">
        <v>675</v>
      </c>
      <c r="N170" s="5"/>
      <c r="O170" s="5">
        <v>2</v>
      </c>
      <c r="P170" s="5">
        <v>0</v>
      </c>
      <c r="Q170" s="5" t="s">
        <v>44</v>
      </c>
      <c r="R170" s="5">
        <v>12.740692141230866</v>
      </c>
      <c r="S170">
        <v>84.628462846284634</v>
      </c>
      <c r="T170">
        <v>4.2704270427042701</v>
      </c>
      <c r="U170">
        <v>1.1501150115011503</v>
      </c>
      <c r="V170">
        <v>9.9509950995099494</v>
      </c>
      <c r="W170" s="6">
        <v>13.34</v>
      </c>
      <c r="X170" s="6"/>
      <c r="Y170" s="5">
        <v>1.3</v>
      </c>
      <c r="Z170" s="5">
        <v>23.62</v>
      </c>
      <c r="AA170" s="5">
        <v>100.85288499340628</v>
      </c>
      <c r="AB170" s="5">
        <v>20.61</v>
      </c>
    </row>
    <row r="171" spans="1:28" x14ac:dyDescent="0.2">
      <c r="A171" s="3">
        <v>170</v>
      </c>
      <c r="B171" s="4" t="s">
        <v>45</v>
      </c>
      <c r="C171" s="5">
        <v>17.19534349576</v>
      </c>
      <c r="D171" s="5">
        <v>42.816192000000001</v>
      </c>
      <c r="E171" s="5">
        <v>4.8893439999999995</v>
      </c>
      <c r="F171" s="5">
        <v>0.87801600000000002</v>
      </c>
      <c r="G171" s="5">
        <v>0.23241600000000001</v>
      </c>
      <c r="H171" s="5">
        <v>37.324288000000003</v>
      </c>
      <c r="I171" s="5">
        <v>4.3099999999999996</v>
      </c>
      <c r="J171" s="5">
        <v>9.61</v>
      </c>
      <c r="K171" s="5">
        <v>80.92</v>
      </c>
      <c r="L171" s="5">
        <v>14.67</v>
      </c>
      <c r="M171" s="5">
        <v>676</v>
      </c>
      <c r="N171" s="5"/>
      <c r="O171" s="5">
        <v>2</v>
      </c>
      <c r="P171" s="5">
        <v>0</v>
      </c>
      <c r="Q171" s="5" t="s">
        <v>44</v>
      </c>
      <c r="R171" s="5">
        <v>13.284786001261681</v>
      </c>
      <c r="S171">
        <v>82.395281415575326</v>
      </c>
      <c r="T171">
        <v>12.366290112966109</v>
      </c>
      <c r="U171">
        <v>3.9088273517944612</v>
      </c>
      <c r="V171">
        <v>1.3296011196641007</v>
      </c>
      <c r="W171" s="6">
        <v>10.92</v>
      </c>
      <c r="X171" s="6"/>
      <c r="Y171" s="5">
        <v>1.2</v>
      </c>
      <c r="Z171" s="5">
        <v>25.91</v>
      </c>
      <c r="AA171" s="5">
        <v>76.20667771615706</v>
      </c>
      <c r="AB171" s="5">
        <v>20.76</v>
      </c>
    </row>
    <row r="172" spans="1:28" x14ac:dyDescent="0.2">
      <c r="A172" s="3">
        <v>171</v>
      </c>
      <c r="B172" s="4" t="s">
        <v>43</v>
      </c>
      <c r="C172" s="5">
        <v>19.989999999999998</v>
      </c>
      <c r="D172" s="5">
        <v>44.531281223083546</v>
      </c>
      <c r="E172" s="5">
        <v>5.7744056847545213</v>
      </c>
      <c r="F172" s="5">
        <v>0.70156330749354001</v>
      </c>
      <c r="G172" s="5">
        <v>0.43173126614987073</v>
      </c>
      <c r="H172" s="5">
        <v>28.656162790697667</v>
      </c>
      <c r="I172" s="5">
        <v>7.12</v>
      </c>
      <c r="J172" s="5">
        <v>9.34</v>
      </c>
      <c r="K172" s="5">
        <v>77.52</v>
      </c>
      <c r="L172" s="5">
        <v>15.36</v>
      </c>
      <c r="M172" s="5">
        <v>700</v>
      </c>
      <c r="N172" s="5">
        <v>20</v>
      </c>
      <c r="O172" s="5">
        <v>1.23</v>
      </c>
      <c r="P172" s="5">
        <v>0</v>
      </c>
      <c r="Q172" s="5" t="s">
        <v>44</v>
      </c>
      <c r="R172" s="5">
        <v>0</v>
      </c>
      <c r="S172">
        <v>33.846153846153847</v>
      </c>
      <c r="T172">
        <v>30.76923076923077</v>
      </c>
      <c r="U172">
        <v>19.487179487179489</v>
      </c>
      <c r="V172">
        <v>15.897435897435896</v>
      </c>
      <c r="W172" s="5">
        <v>13.15</v>
      </c>
      <c r="X172" s="5">
        <v>1.85</v>
      </c>
      <c r="Y172" s="5">
        <v>1.03</v>
      </c>
      <c r="Z172" s="5">
        <f t="shared" ref="Z172:Z183" si="0">(D172/100)*(1-(AB172/100))/(L172/L172+I172)*1000</f>
        <v>13.600686876015663</v>
      </c>
      <c r="AA172" s="5">
        <v>67.756378189094548</v>
      </c>
      <c r="AB172" s="5">
        <v>75.2</v>
      </c>
    </row>
    <row r="173" spans="1:28" x14ac:dyDescent="0.2">
      <c r="A173" s="3">
        <v>172</v>
      </c>
      <c r="B173" s="4" t="s">
        <v>43</v>
      </c>
      <c r="C173" s="5">
        <v>19.989999999999998</v>
      </c>
      <c r="D173" s="5">
        <v>44.531281223083546</v>
      </c>
      <c r="E173" s="5">
        <v>5.7744056847545213</v>
      </c>
      <c r="F173" s="5">
        <v>0.70156330749354001</v>
      </c>
      <c r="G173" s="5">
        <v>0.43173126614987073</v>
      </c>
      <c r="H173" s="5">
        <v>28.656162790697667</v>
      </c>
      <c r="I173" s="5">
        <v>7.12</v>
      </c>
      <c r="J173" s="5">
        <v>9.34</v>
      </c>
      <c r="K173" s="5">
        <v>77.52</v>
      </c>
      <c r="L173" s="5">
        <v>15.36</v>
      </c>
      <c r="M173" s="5">
        <v>750</v>
      </c>
      <c r="N173" s="5">
        <v>20</v>
      </c>
      <c r="O173" s="5">
        <v>1.23</v>
      </c>
      <c r="P173" s="5">
        <v>0</v>
      </c>
      <c r="Q173" s="5" t="s">
        <v>44</v>
      </c>
      <c r="R173" s="5">
        <v>0</v>
      </c>
      <c r="S173">
        <v>47.95918367346939</v>
      </c>
      <c r="T173">
        <v>24.489795918367349</v>
      </c>
      <c r="U173">
        <v>19.897959183673468</v>
      </c>
      <c r="V173">
        <v>7.6530612244897975</v>
      </c>
      <c r="W173" s="5">
        <v>10.85</v>
      </c>
      <c r="X173" s="5">
        <v>0.78</v>
      </c>
      <c r="Y173" s="5">
        <v>1.31</v>
      </c>
      <c r="Z173" s="5">
        <f t="shared" si="0"/>
        <v>13.271637999983025</v>
      </c>
      <c r="AA173" s="5">
        <v>71.103051525762879</v>
      </c>
      <c r="AB173" s="5">
        <v>75.8</v>
      </c>
    </row>
    <row r="174" spans="1:28" x14ac:dyDescent="0.2">
      <c r="A174" s="3">
        <v>173</v>
      </c>
      <c r="B174" s="4" t="s">
        <v>43</v>
      </c>
      <c r="C174" s="5">
        <v>19.989999999999998</v>
      </c>
      <c r="D174" s="5">
        <v>44.531281223083546</v>
      </c>
      <c r="E174" s="5">
        <v>5.7744056847545213</v>
      </c>
      <c r="F174" s="5">
        <v>0.70156330749354001</v>
      </c>
      <c r="G174" s="5">
        <v>0.43173126614987073</v>
      </c>
      <c r="H174" s="5">
        <v>28.656162790697667</v>
      </c>
      <c r="I174" s="5">
        <v>7.12</v>
      </c>
      <c r="J174" s="5">
        <v>9.34</v>
      </c>
      <c r="K174" s="5">
        <v>77.52</v>
      </c>
      <c r="L174" s="5">
        <v>15.36</v>
      </c>
      <c r="M174" s="5">
        <v>800</v>
      </c>
      <c r="N174" s="5">
        <v>20</v>
      </c>
      <c r="O174" s="5">
        <v>1.23</v>
      </c>
      <c r="P174" s="5">
        <v>0</v>
      </c>
      <c r="Q174" s="5" t="s">
        <v>44</v>
      </c>
      <c r="R174" s="5">
        <v>0</v>
      </c>
      <c r="S174">
        <v>58.163265306122447</v>
      </c>
      <c r="T174">
        <v>15.306122448979592</v>
      </c>
      <c r="U174">
        <v>21.938775510204081</v>
      </c>
      <c r="V174">
        <v>4.591836734693878</v>
      </c>
      <c r="W174" s="5">
        <v>9.76</v>
      </c>
      <c r="X174" s="5">
        <v>0.22</v>
      </c>
      <c r="Y174" s="5">
        <v>1.66</v>
      </c>
      <c r="Z174" s="5">
        <f t="shared" si="0"/>
        <v>11.790918057836157</v>
      </c>
      <c r="AA174" s="5">
        <v>81.048524262131068</v>
      </c>
      <c r="AB174" s="5">
        <v>78.5</v>
      </c>
    </row>
    <row r="175" spans="1:28" x14ac:dyDescent="0.2">
      <c r="A175" s="3">
        <v>174</v>
      </c>
      <c r="B175" s="4" t="s">
        <v>43</v>
      </c>
      <c r="C175" s="5">
        <v>19.989999999999998</v>
      </c>
      <c r="D175" s="5">
        <v>44.531281223083546</v>
      </c>
      <c r="E175" s="5">
        <v>5.7744056847545213</v>
      </c>
      <c r="F175" s="5">
        <v>0.70156330749354001</v>
      </c>
      <c r="G175" s="5">
        <v>0.43173126614987073</v>
      </c>
      <c r="H175" s="5">
        <v>28.656162790697667</v>
      </c>
      <c r="I175" s="5">
        <v>7.12</v>
      </c>
      <c r="J175" s="5">
        <v>9.34</v>
      </c>
      <c r="K175" s="5">
        <v>77.52</v>
      </c>
      <c r="L175" s="5">
        <v>15.36</v>
      </c>
      <c r="M175" s="5">
        <v>850</v>
      </c>
      <c r="N175" s="5">
        <v>20</v>
      </c>
      <c r="O175" s="5">
        <v>1.23</v>
      </c>
      <c r="P175" s="5">
        <v>0</v>
      </c>
      <c r="Q175" s="5" t="s">
        <v>44</v>
      </c>
      <c r="R175" s="5">
        <v>0</v>
      </c>
      <c r="S175">
        <v>59</v>
      </c>
      <c r="T175">
        <v>16.5</v>
      </c>
      <c r="U175">
        <v>22</v>
      </c>
      <c r="V175">
        <v>2.5</v>
      </c>
      <c r="W175" s="5">
        <v>9.34</v>
      </c>
      <c r="X175" s="5">
        <v>0.18</v>
      </c>
      <c r="Y175" s="5">
        <v>1.85</v>
      </c>
      <c r="Z175" s="5">
        <f t="shared" si="0"/>
        <v>10.496659145441122</v>
      </c>
      <c r="AA175" s="5">
        <v>86.438219109554794</v>
      </c>
      <c r="AB175" s="5">
        <v>80.86</v>
      </c>
    </row>
    <row r="176" spans="1:28" x14ac:dyDescent="0.2">
      <c r="A176" s="3">
        <v>175</v>
      </c>
      <c r="B176" s="4" t="s">
        <v>43</v>
      </c>
      <c r="C176" s="5">
        <v>19.989999999999998</v>
      </c>
      <c r="D176" s="5">
        <v>44.531281223083546</v>
      </c>
      <c r="E176" s="5">
        <v>5.7744056847545213</v>
      </c>
      <c r="F176" s="5">
        <v>0.70156330749354001</v>
      </c>
      <c r="G176" s="5">
        <v>0.43173126614987073</v>
      </c>
      <c r="H176" s="5">
        <v>28.656162790697667</v>
      </c>
      <c r="I176" s="5">
        <v>7.12</v>
      </c>
      <c r="J176" s="5">
        <v>9.34</v>
      </c>
      <c r="K176" s="5">
        <v>77.52</v>
      </c>
      <c r="L176" s="5">
        <v>15.36</v>
      </c>
      <c r="M176" s="5">
        <v>800</v>
      </c>
      <c r="N176" s="5">
        <v>20</v>
      </c>
      <c r="O176" s="7">
        <v>0</v>
      </c>
      <c r="P176" s="5">
        <v>0</v>
      </c>
      <c r="Q176" s="5"/>
      <c r="R176" s="5">
        <v>0</v>
      </c>
      <c r="S176">
        <v>30.107526881720432</v>
      </c>
      <c r="T176">
        <v>38.172043010752688</v>
      </c>
      <c r="U176">
        <v>14.516129032258066</v>
      </c>
      <c r="V176">
        <v>17.20430107526882</v>
      </c>
      <c r="W176" s="5">
        <v>13.62</v>
      </c>
      <c r="X176" s="5">
        <v>40.15</v>
      </c>
      <c r="Y176" s="5">
        <v>0.72</v>
      </c>
      <c r="Z176" s="5">
        <f t="shared" si="0"/>
        <v>22.380807718153196</v>
      </c>
      <c r="AA176" s="5">
        <v>49.056528264132062</v>
      </c>
      <c r="AB176" s="5">
        <v>59.19</v>
      </c>
    </row>
    <row r="177" spans="1:28" x14ac:dyDescent="0.2">
      <c r="A177" s="3">
        <v>176</v>
      </c>
      <c r="B177" s="4" t="s">
        <v>43</v>
      </c>
      <c r="C177" s="5">
        <v>19.989999999999998</v>
      </c>
      <c r="D177" s="5">
        <v>44.531281223083546</v>
      </c>
      <c r="E177" s="5">
        <v>5.7744056847545213</v>
      </c>
      <c r="F177" s="5">
        <v>0.70156330749354001</v>
      </c>
      <c r="G177" s="5">
        <v>0.43173126614987073</v>
      </c>
      <c r="H177" s="5">
        <v>28.656162790697667</v>
      </c>
      <c r="I177" s="5">
        <v>7.12</v>
      </c>
      <c r="J177" s="5">
        <v>9.34</v>
      </c>
      <c r="K177" s="5">
        <v>77.52</v>
      </c>
      <c r="L177" s="5">
        <v>15.36</v>
      </c>
      <c r="M177" s="5">
        <v>800</v>
      </c>
      <c r="N177" s="5">
        <v>20</v>
      </c>
      <c r="O177" s="5">
        <v>0.73</v>
      </c>
      <c r="P177" s="5">
        <v>0</v>
      </c>
      <c r="Q177" s="5" t="s">
        <v>44</v>
      </c>
      <c r="R177" s="5">
        <v>0</v>
      </c>
      <c r="S177">
        <v>49.489795918367342</v>
      </c>
      <c r="T177">
        <v>22.959183673469386</v>
      </c>
      <c r="U177">
        <v>15.816326530612242</v>
      </c>
      <c r="V177">
        <v>11.734693877551019</v>
      </c>
      <c r="W177" s="5">
        <v>12.11</v>
      </c>
      <c r="X177" s="5">
        <v>8.02</v>
      </c>
      <c r="Y177" s="5">
        <v>1.26</v>
      </c>
      <c r="Z177" s="5">
        <f t="shared" si="0"/>
        <v>15.904029008244125</v>
      </c>
      <c r="AA177" s="5">
        <v>76.3311655827914</v>
      </c>
      <c r="AB177" s="5">
        <v>71</v>
      </c>
    </row>
    <row r="178" spans="1:28" x14ac:dyDescent="0.2">
      <c r="A178" s="3">
        <v>177</v>
      </c>
      <c r="B178" s="4" t="s">
        <v>43</v>
      </c>
      <c r="C178" s="5">
        <v>19.989999999999998</v>
      </c>
      <c r="D178" s="5">
        <v>44.531281223083546</v>
      </c>
      <c r="E178" s="5">
        <v>5.7744056847545213</v>
      </c>
      <c r="F178" s="5">
        <v>0.70156330749354001</v>
      </c>
      <c r="G178" s="5">
        <v>0.43173126614987073</v>
      </c>
      <c r="H178" s="5">
        <v>28.656162790697667</v>
      </c>
      <c r="I178" s="5">
        <v>7.12</v>
      </c>
      <c r="J178" s="5">
        <v>9.34</v>
      </c>
      <c r="K178" s="5">
        <v>77.52</v>
      </c>
      <c r="L178" s="5">
        <v>15.36</v>
      </c>
      <c r="M178" s="5">
        <v>800</v>
      </c>
      <c r="N178" s="5">
        <v>20</v>
      </c>
      <c r="O178" s="5">
        <v>1.23</v>
      </c>
      <c r="P178" s="5">
        <v>0</v>
      </c>
      <c r="Q178" s="5" t="s">
        <v>44</v>
      </c>
      <c r="R178" s="5">
        <v>0</v>
      </c>
      <c r="S178">
        <v>56.281407035175882</v>
      </c>
      <c r="T178">
        <v>17.587939698492463</v>
      </c>
      <c r="U178">
        <v>21.105527638190953</v>
      </c>
      <c r="V178">
        <v>5.025125628140704</v>
      </c>
      <c r="W178" s="5">
        <v>10.09</v>
      </c>
      <c r="X178" s="5">
        <v>0.23</v>
      </c>
      <c r="Y178" s="5">
        <v>1.62</v>
      </c>
      <c r="Z178" s="5">
        <f t="shared" si="0"/>
        <v>12.728707354529174</v>
      </c>
      <c r="AA178" s="5">
        <v>81.769884942471251</v>
      </c>
      <c r="AB178" s="5">
        <v>76.790000000000006</v>
      </c>
    </row>
    <row r="179" spans="1:28" x14ac:dyDescent="0.2">
      <c r="A179" s="3">
        <v>178</v>
      </c>
      <c r="B179" s="4" t="s">
        <v>43</v>
      </c>
      <c r="C179" s="5">
        <v>19.989999999999998</v>
      </c>
      <c r="D179" s="5">
        <v>44.531281223083546</v>
      </c>
      <c r="E179" s="5">
        <v>5.7744056847545213</v>
      </c>
      <c r="F179" s="5">
        <v>0.70156330749354001</v>
      </c>
      <c r="G179" s="5">
        <v>0.43173126614987073</v>
      </c>
      <c r="H179" s="5">
        <v>28.656162790697667</v>
      </c>
      <c r="I179" s="5">
        <v>7.12</v>
      </c>
      <c r="J179" s="5">
        <v>9.34</v>
      </c>
      <c r="K179" s="5">
        <v>77.52</v>
      </c>
      <c r="L179" s="5">
        <v>15.36</v>
      </c>
      <c r="M179" s="5">
        <v>800</v>
      </c>
      <c r="N179" s="5">
        <v>20</v>
      </c>
      <c r="O179" s="5">
        <v>2.08</v>
      </c>
      <c r="P179" s="5">
        <v>0</v>
      </c>
      <c r="Q179" s="5" t="s">
        <v>44</v>
      </c>
      <c r="R179" s="5">
        <v>0</v>
      </c>
      <c r="S179">
        <v>54.314720812182735</v>
      </c>
      <c r="T179">
        <v>17.258883248730967</v>
      </c>
      <c r="U179">
        <v>24.365482233502544</v>
      </c>
      <c r="V179">
        <v>4.060913705583757</v>
      </c>
      <c r="W179" s="5">
        <v>9.3800000000000008</v>
      </c>
      <c r="X179" s="5">
        <v>0.85</v>
      </c>
      <c r="Y179" s="5">
        <v>1.5</v>
      </c>
      <c r="Z179" s="5">
        <f t="shared" si="0"/>
        <v>13.310027035520163</v>
      </c>
      <c r="AA179" s="5">
        <v>70.385192596298154</v>
      </c>
      <c r="AB179" s="5">
        <v>75.73</v>
      </c>
    </row>
    <row r="180" spans="1:28" x14ac:dyDescent="0.2">
      <c r="A180" s="3">
        <v>179</v>
      </c>
      <c r="B180" s="4" t="s">
        <v>43</v>
      </c>
      <c r="C180" s="5">
        <v>19.989999999999998</v>
      </c>
      <c r="D180" s="5">
        <v>44.531281223083546</v>
      </c>
      <c r="E180" s="5">
        <v>5.7744056847545213</v>
      </c>
      <c r="F180" s="5">
        <v>0.70156330749354001</v>
      </c>
      <c r="G180" s="5">
        <v>0.43173126614987073</v>
      </c>
      <c r="H180" s="5">
        <v>28.656162790697667</v>
      </c>
      <c r="I180" s="5">
        <v>7.12</v>
      </c>
      <c r="J180" s="5">
        <v>9.34</v>
      </c>
      <c r="K180" s="5">
        <v>77.52</v>
      </c>
      <c r="L180" s="5">
        <v>15.36</v>
      </c>
      <c r="M180" s="5">
        <v>800</v>
      </c>
      <c r="N180" s="5">
        <v>20</v>
      </c>
      <c r="O180" s="5">
        <v>2.77</v>
      </c>
      <c r="P180" s="5">
        <v>0</v>
      </c>
      <c r="Q180" s="5" t="s">
        <v>44</v>
      </c>
      <c r="R180" s="5">
        <v>0</v>
      </c>
      <c r="S180">
        <v>53.266331658291463</v>
      </c>
      <c r="T180">
        <v>16.08040201005025</v>
      </c>
      <c r="U180">
        <v>25.125628140703522</v>
      </c>
      <c r="V180">
        <v>5.5276381909547752</v>
      </c>
      <c r="W180" s="5">
        <v>9.73</v>
      </c>
      <c r="X180" s="5">
        <v>1.78</v>
      </c>
      <c r="Y180" s="5">
        <v>1.43</v>
      </c>
      <c r="Z180" s="5">
        <f t="shared" si="0"/>
        <v>15.476265469401696</v>
      </c>
      <c r="AA180" s="5">
        <v>69.604302151075544</v>
      </c>
      <c r="AB180" s="5">
        <v>71.78</v>
      </c>
    </row>
    <row r="181" spans="1:28" x14ac:dyDescent="0.2">
      <c r="A181" s="3">
        <v>180</v>
      </c>
      <c r="B181" s="4" t="s">
        <v>43</v>
      </c>
      <c r="C181" s="5">
        <v>19.989999999999998</v>
      </c>
      <c r="D181" s="5">
        <v>44.531281223083546</v>
      </c>
      <c r="E181" s="5">
        <v>5.7744056847545213</v>
      </c>
      <c r="F181" s="5">
        <v>0.70156330749354001</v>
      </c>
      <c r="G181" s="5">
        <v>0.43173126614987073</v>
      </c>
      <c r="H181" s="5">
        <v>28.656162790697667</v>
      </c>
      <c r="I181" s="5">
        <v>7.12</v>
      </c>
      <c r="J181" s="5">
        <v>9.34</v>
      </c>
      <c r="K181" s="5">
        <v>77.52</v>
      </c>
      <c r="L181" s="5">
        <v>15.36</v>
      </c>
      <c r="M181" s="5">
        <v>800</v>
      </c>
      <c r="N181" s="5">
        <v>20</v>
      </c>
      <c r="O181" s="5">
        <v>3.08</v>
      </c>
      <c r="P181" s="5">
        <v>0</v>
      </c>
      <c r="Q181" s="5" t="s">
        <v>44</v>
      </c>
      <c r="R181" s="5">
        <v>0</v>
      </c>
      <c r="S181">
        <v>52.791878172588838</v>
      </c>
      <c r="T181">
        <v>15.228426395939088</v>
      </c>
      <c r="U181">
        <v>26.903553299492376</v>
      </c>
      <c r="V181">
        <v>5.0761421319796947</v>
      </c>
      <c r="W181" s="5">
        <v>9.4</v>
      </c>
      <c r="X181" s="5">
        <v>2.86</v>
      </c>
      <c r="Y181" s="5">
        <v>1.38</v>
      </c>
      <c r="Z181" s="5">
        <f t="shared" si="0"/>
        <v>15.816282641302084</v>
      </c>
      <c r="AA181" s="5">
        <v>64.892446223111563</v>
      </c>
      <c r="AB181" s="5">
        <v>71.16</v>
      </c>
    </row>
    <row r="182" spans="1:28" x14ac:dyDescent="0.2">
      <c r="A182" s="3">
        <v>181</v>
      </c>
      <c r="B182" s="4" t="s">
        <v>43</v>
      </c>
      <c r="C182" s="5">
        <v>19.989999999999998</v>
      </c>
      <c r="D182" s="5">
        <v>44.531281223083546</v>
      </c>
      <c r="E182" s="5">
        <v>5.7744056847545213</v>
      </c>
      <c r="F182" s="5">
        <v>0.70156330749354001</v>
      </c>
      <c r="G182" s="5">
        <v>0.43173126614987073</v>
      </c>
      <c r="H182" s="5">
        <v>28.656162790697667</v>
      </c>
      <c r="I182" s="5">
        <v>7.12</v>
      </c>
      <c r="J182" s="5">
        <v>9.34</v>
      </c>
      <c r="K182" s="5">
        <v>77.52</v>
      </c>
      <c r="L182" s="5">
        <v>15.36</v>
      </c>
      <c r="M182" s="5">
        <v>800</v>
      </c>
      <c r="N182" s="5">
        <v>20</v>
      </c>
      <c r="O182" s="5">
        <v>1.23</v>
      </c>
      <c r="P182" s="5">
        <v>0</v>
      </c>
      <c r="Q182" s="5" t="s">
        <v>44</v>
      </c>
      <c r="R182" s="5">
        <v>0</v>
      </c>
      <c r="S182">
        <v>34.806629834254146</v>
      </c>
      <c r="T182">
        <v>24.30939226519337</v>
      </c>
      <c r="U182">
        <v>25.966850828729282</v>
      </c>
      <c r="V182">
        <v>14.917127071823206</v>
      </c>
      <c r="W182" s="5">
        <v>11.598874000000002</v>
      </c>
      <c r="X182" s="5">
        <v>38.67</v>
      </c>
      <c r="Y182" s="5">
        <v>0.78</v>
      </c>
      <c r="Z182" s="5">
        <f t="shared" si="0"/>
        <v>22.983696916447009</v>
      </c>
      <c r="AA182" s="5">
        <v>45.258237718859441</v>
      </c>
      <c r="AB182" s="5">
        <v>58.09066933721904</v>
      </c>
    </row>
    <row r="183" spans="1:28" x14ac:dyDescent="0.2">
      <c r="A183" s="3">
        <v>182</v>
      </c>
      <c r="B183" s="4" t="s">
        <v>43</v>
      </c>
      <c r="C183" s="5">
        <v>19.989999999999998</v>
      </c>
      <c r="D183" s="5">
        <v>44.531281223083546</v>
      </c>
      <c r="E183" s="5">
        <v>5.7744056847545213</v>
      </c>
      <c r="F183" s="5">
        <v>0.70156330749354001</v>
      </c>
      <c r="G183" s="5">
        <v>0.43173126614987073</v>
      </c>
      <c r="H183" s="5">
        <v>28.656162790697667</v>
      </c>
      <c r="I183" s="5">
        <v>7.12</v>
      </c>
      <c r="J183" s="5">
        <v>9.34</v>
      </c>
      <c r="K183" s="5">
        <v>77.52</v>
      </c>
      <c r="L183" s="5">
        <v>15.36</v>
      </c>
      <c r="M183" s="5">
        <v>800</v>
      </c>
      <c r="N183" s="5">
        <v>20</v>
      </c>
      <c r="O183" s="5">
        <v>1.23</v>
      </c>
      <c r="P183" s="5">
        <v>0</v>
      </c>
      <c r="Q183" s="5" t="s">
        <v>44</v>
      </c>
      <c r="R183" s="5">
        <v>0</v>
      </c>
      <c r="S183">
        <v>51.515151515151516</v>
      </c>
      <c r="T183">
        <v>19.19191919191919</v>
      </c>
      <c r="U183">
        <v>21.71717171717172</v>
      </c>
      <c r="V183">
        <v>7.5757575757575761</v>
      </c>
      <c r="W183" s="5">
        <v>10.712242</v>
      </c>
      <c r="X183" s="5">
        <v>0.76</v>
      </c>
      <c r="Y183" s="5">
        <v>1.4</v>
      </c>
      <c r="Z183" s="5">
        <f t="shared" si="0"/>
        <v>16.511974443452651</v>
      </c>
      <c r="AA183" s="5">
        <v>75.023205602801397</v>
      </c>
      <c r="AB183" s="5">
        <v>69.891449606140156</v>
      </c>
    </row>
    <row r="184" spans="1:28" x14ac:dyDescent="0.2">
      <c r="A184" s="3">
        <v>183</v>
      </c>
      <c r="B184" s="4" t="s">
        <v>46</v>
      </c>
      <c r="C184" s="5">
        <v>18.196000000000002</v>
      </c>
      <c r="D184" s="5">
        <v>53.77</v>
      </c>
      <c r="E184" s="5">
        <v>5.39</v>
      </c>
      <c r="F184" s="5">
        <v>0.43</v>
      </c>
      <c r="G184" s="5">
        <v>0.12</v>
      </c>
      <c r="H184" s="5">
        <v>38.340000000000003</v>
      </c>
      <c r="I184" s="5">
        <v>1.95</v>
      </c>
      <c r="J184" s="5">
        <v>0</v>
      </c>
      <c r="K184" s="5">
        <v>74.23</v>
      </c>
      <c r="L184" s="5">
        <v>23.82</v>
      </c>
      <c r="M184" s="5">
        <v>770</v>
      </c>
      <c r="N184" s="5">
        <v>40</v>
      </c>
      <c r="O184" s="5">
        <v>0</v>
      </c>
      <c r="P184" s="5">
        <v>0.19</v>
      </c>
      <c r="Q184" s="5" t="s">
        <v>23</v>
      </c>
      <c r="R184" s="5">
        <v>55.500000000000007</v>
      </c>
      <c r="S184">
        <v>18.876404494382022</v>
      </c>
      <c r="T184">
        <v>38.426966292134836</v>
      </c>
      <c r="U184">
        <v>31.011235955056183</v>
      </c>
      <c r="V184">
        <v>11.685393258426966</v>
      </c>
      <c r="W184" s="16">
        <v>5</v>
      </c>
      <c r="X184" s="16"/>
      <c r="Y184" s="16"/>
      <c r="Z184" s="16"/>
      <c r="AA184" s="16"/>
      <c r="AB184" s="16"/>
    </row>
    <row r="185" spans="1:28" x14ac:dyDescent="0.2">
      <c r="A185" s="3">
        <v>184</v>
      </c>
      <c r="B185" s="4" t="s">
        <v>46</v>
      </c>
      <c r="C185" s="5">
        <v>18.196000000000002</v>
      </c>
      <c r="D185" s="5">
        <v>53.77</v>
      </c>
      <c r="E185" s="5">
        <v>5.39</v>
      </c>
      <c r="F185" s="5">
        <v>0.43</v>
      </c>
      <c r="G185" s="5">
        <v>0.12</v>
      </c>
      <c r="H185" s="5">
        <v>38.340000000000003</v>
      </c>
      <c r="I185" s="5">
        <v>1.95</v>
      </c>
      <c r="J185" s="5">
        <v>0</v>
      </c>
      <c r="K185" s="5">
        <v>74.23</v>
      </c>
      <c r="L185" s="5">
        <v>23.82</v>
      </c>
      <c r="M185" s="5">
        <v>770</v>
      </c>
      <c r="N185" s="5">
        <v>40</v>
      </c>
      <c r="O185" s="5">
        <v>0</v>
      </c>
      <c r="P185" s="5">
        <v>0.24</v>
      </c>
      <c r="Q185" s="5" t="s">
        <v>23</v>
      </c>
      <c r="R185" s="5">
        <v>58.20000000000001</v>
      </c>
      <c r="S185">
        <v>16.028708133971289</v>
      </c>
      <c r="T185">
        <v>37.320574162679421</v>
      </c>
      <c r="U185">
        <v>35.645933014354057</v>
      </c>
      <c r="V185">
        <v>11.004784688995214</v>
      </c>
      <c r="W185" s="16">
        <v>4.4000000000000004</v>
      </c>
      <c r="X185" s="16"/>
      <c r="Y185" s="16"/>
      <c r="Z185" s="16"/>
      <c r="AA185" s="16"/>
      <c r="AB185" s="16"/>
    </row>
    <row r="186" spans="1:28" x14ac:dyDescent="0.2">
      <c r="A186" s="3">
        <v>185</v>
      </c>
      <c r="B186" s="4" t="s">
        <v>46</v>
      </c>
      <c r="C186" s="5">
        <v>18.196000000000002</v>
      </c>
      <c r="D186" s="5">
        <v>53.77</v>
      </c>
      <c r="E186" s="5">
        <v>5.39</v>
      </c>
      <c r="F186" s="5">
        <v>0.43</v>
      </c>
      <c r="G186" s="5">
        <v>0.12</v>
      </c>
      <c r="H186" s="5">
        <v>38.340000000000003</v>
      </c>
      <c r="I186" s="5">
        <v>1.95</v>
      </c>
      <c r="J186" s="5">
        <v>0</v>
      </c>
      <c r="K186" s="5">
        <v>74.23</v>
      </c>
      <c r="L186" s="5">
        <v>23.82</v>
      </c>
      <c r="M186" s="5">
        <v>770</v>
      </c>
      <c r="N186" s="5">
        <v>40</v>
      </c>
      <c r="O186" s="5">
        <v>0</v>
      </c>
      <c r="P186" s="5">
        <v>0.31</v>
      </c>
      <c r="Q186" s="5" t="s">
        <v>23</v>
      </c>
      <c r="R186" s="5">
        <v>63.800000000000004</v>
      </c>
      <c r="S186">
        <v>11.602209944751381</v>
      </c>
      <c r="T186">
        <v>33.701657458563531</v>
      </c>
      <c r="U186">
        <v>43.646408839779006</v>
      </c>
      <c r="V186">
        <v>11.049723756906078</v>
      </c>
      <c r="W186" s="16">
        <v>3.4</v>
      </c>
      <c r="X186" s="16"/>
      <c r="Y186" s="16"/>
      <c r="Z186" s="16"/>
      <c r="AA186" s="16"/>
      <c r="AB186" s="16"/>
    </row>
    <row r="187" spans="1:28" x14ac:dyDescent="0.2">
      <c r="A187" s="3">
        <v>186</v>
      </c>
      <c r="B187" s="4" t="s">
        <v>46</v>
      </c>
      <c r="C187" s="5">
        <v>18.196000000000002</v>
      </c>
      <c r="D187" s="5">
        <v>53.77</v>
      </c>
      <c r="E187" s="5">
        <v>5.39</v>
      </c>
      <c r="F187" s="5">
        <v>0.43</v>
      </c>
      <c r="G187" s="5">
        <v>0.12</v>
      </c>
      <c r="H187" s="5">
        <v>38.340000000000003</v>
      </c>
      <c r="I187" s="5">
        <v>1.95</v>
      </c>
      <c r="J187" s="5">
        <v>0</v>
      </c>
      <c r="K187" s="5">
        <v>74.23</v>
      </c>
      <c r="L187" s="5">
        <v>23.82</v>
      </c>
      <c r="M187" s="5">
        <v>770</v>
      </c>
      <c r="N187" s="5">
        <v>40</v>
      </c>
      <c r="O187" s="5">
        <v>0</v>
      </c>
      <c r="P187" s="5">
        <v>0.37</v>
      </c>
      <c r="Q187" s="5" t="s">
        <v>23</v>
      </c>
      <c r="R187" s="5">
        <v>66.5</v>
      </c>
      <c r="S187">
        <v>9.5522388059701502</v>
      </c>
      <c r="T187">
        <v>31.940298507462682</v>
      </c>
      <c r="U187">
        <v>48.656716417910452</v>
      </c>
      <c r="V187">
        <v>9.8507462686567173</v>
      </c>
      <c r="W187" s="16">
        <v>2.8</v>
      </c>
      <c r="X187" s="16"/>
      <c r="Y187" s="16"/>
      <c r="Z187" s="16"/>
      <c r="AA187" s="16"/>
      <c r="AB187" s="16"/>
    </row>
    <row r="188" spans="1:28" x14ac:dyDescent="0.2">
      <c r="A188" s="3">
        <v>187</v>
      </c>
      <c r="B188" s="4" t="s">
        <v>47</v>
      </c>
      <c r="C188" s="5">
        <v>17.82</v>
      </c>
      <c r="D188" s="5">
        <v>49.889999999999993</v>
      </c>
      <c r="E188" s="5">
        <v>5.9099999999999993</v>
      </c>
      <c r="F188" s="5">
        <v>0.4</v>
      </c>
      <c r="G188" s="5">
        <v>0.1</v>
      </c>
      <c r="H188" s="5">
        <v>43.43</v>
      </c>
      <c r="I188" s="5">
        <v>0.27</v>
      </c>
      <c r="J188" s="5">
        <v>0</v>
      </c>
      <c r="K188" s="5">
        <v>83.17</v>
      </c>
      <c r="L188" s="5">
        <v>16.559999999999999</v>
      </c>
      <c r="M188" s="5">
        <v>770</v>
      </c>
      <c r="N188" s="5">
        <v>40</v>
      </c>
      <c r="O188" s="5">
        <v>0</v>
      </c>
      <c r="P188" s="5">
        <v>0.19</v>
      </c>
      <c r="Q188" s="5" t="s">
        <v>23</v>
      </c>
      <c r="R188" s="5">
        <v>54.800000000000004</v>
      </c>
      <c r="S188">
        <v>12.389380530973451</v>
      </c>
      <c r="T188">
        <v>42.256637168141594</v>
      </c>
      <c r="U188">
        <v>30.530973451327437</v>
      </c>
      <c r="V188">
        <v>14.823008849557523</v>
      </c>
      <c r="W188" s="16">
        <v>5.4</v>
      </c>
      <c r="X188" s="16"/>
      <c r="Y188" s="16"/>
      <c r="Z188" s="16"/>
      <c r="AA188" s="16"/>
      <c r="AB188" s="16"/>
    </row>
    <row r="189" spans="1:28" x14ac:dyDescent="0.2">
      <c r="A189" s="3">
        <v>188</v>
      </c>
      <c r="B189" s="4" t="s">
        <v>47</v>
      </c>
      <c r="C189" s="5">
        <v>17.82</v>
      </c>
      <c r="D189" s="5">
        <v>49.889999999999993</v>
      </c>
      <c r="E189" s="5">
        <v>5.9099999999999993</v>
      </c>
      <c r="F189" s="5">
        <v>0.4</v>
      </c>
      <c r="G189" s="5">
        <v>0.1</v>
      </c>
      <c r="H189" s="5">
        <v>43.43</v>
      </c>
      <c r="I189" s="5">
        <v>0.27</v>
      </c>
      <c r="J189" s="5">
        <v>0</v>
      </c>
      <c r="K189" s="5">
        <v>83.17</v>
      </c>
      <c r="L189" s="5">
        <v>16.559999999999999</v>
      </c>
      <c r="M189" s="5">
        <v>770</v>
      </c>
      <c r="N189" s="5">
        <v>40</v>
      </c>
      <c r="O189" s="5">
        <v>0</v>
      </c>
      <c r="P189" s="5">
        <v>0.24</v>
      </c>
      <c r="Q189" s="5" t="s">
        <v>23</v>
      </c>
      <c r="R189" s="5">
        <v>57.199999999999996</v>
      </c>
      <c r="S189">
        <v>10.2803738317757</v>
      </c>
      <c r="T189">
        <v>40.654205607476626</v>
      </c>
      <c r="U189">
        <v>35.514018691588781</v>
      </c>
      <c r="V189">
        <v>13.551401869158877</v>
      </c>
      <c r="W189" s="16">
        <v>4.7</v>
      </c>
      <c r="X189" s="16"/>
      <c r="Y189" s="16"/>
      <c r="Z189" s="16"/>
      <c r="AA189" s="16"/>
      <c r="AB189" s="16"/>
    </row>
    <row r="190" spans="1:28" x14ac:dyDescent="0.2">
      <c r="A190" s="3">
        <v>189</v>
      </c>
      <c r="B190" s="4" t="s">
        <v>47</v>
      </c>
      <c r="C190" s="5">
        <v>17.82</v>
      </c>
      <c r="D190" s="5">
        <v>49.889999999999993</v>
      </c>
      <c r="E190" s="5">
        <v>5.9099999999999993</v>
      </c>
      <c r="F190" s="5">
        <v>0.4</v>
      </c>
      <c r="G190" s="5">
        <v>0.1</v>
      </c>
      <c r="H190" s="5">
        <v>43.43</v>
      </c>
      <c r="I190" s="5">
        <v>0.27</v>
      </c>
      <c r="J190" s="5">
        <v>0</v>
      </c>
      <c r="K190" s="5">
        <v>83.17</v>
      </c>
      <c r="L190" s="5">
        <v>16.559999999999999</v>
      </c>
      <c r="M190" s="5">
        <v>770</v>
      </c>
      <c r="N190" s="5">
        <v>40</v>
      </c>
      <c r="O190" s="5">
        <v>0</v>
      </c>
      <c r="P190" s="5">
        <v>0.31</v>
      </c>
      <c r="Q190" s="5" t="s">
        <v>23</v>
      </c>
      <c r="R190" s="5">
        <v>61.400000000000013</v>
      </c>
      <c r="S190">
        <v>9.3264248704663242</v>
      </c>
      <c r="T190">
        <v>37.564766839378237</v>
      </c>
      <c r="U190">
        <v>41.450777202072544</v>
      </c>
      <c r="V190">
        <v>11.658031088082902</v>
      </c>
      <c r="W190" s="16">
        <v>3.8</v>
      </c>
      <c r="X190" s="16"/>
      <c r="Y190" s="16"/>
      <c r="Z190" s="16"/>
      <c r="AA190" s="16"/>
      <c r="AB190" s="16"/>
    </row>
    <row r="191" spans="1:28" x14ac:dyDescent="0.2">
      <c r="A191" s="3">
        <v>190</v>
      </c>
      <c r="B191" s="4" t="s">
        <v>47</v>
      </c>
      <c r="C191" s="5">
        <v>17.82</v>
      </c>
      <c r="D191" s="5">
        <v>49.889999999999993</v>
      </c>
      <c r="E191" s="5">
        <v>5.9099999999999993</v>
      </c>
      <c r="F191" s="5">
        <v>0.4</v>
      </c>
      <c r="G191" s="5">
        <v>0.1</v>
      </c>
      <c r="H191" s="5">
        <v>43.43</v>
      </c>
      <c r="I191" s="5">
        <v>0.27</v>
      </c>
      <c r="J191" s="5">
        <v>0</v>
      </c>
      <c r="K191" s="5">
        <v>83.17</v>
      </c>
      <c r="L191" s="5">
        <v>16.559999999999999</v>
      </c>
      <c r="M191" s="5">
        <v>770</v>
      </c>
      <c r="N191" s="5">
        <v>40</v>
      </c>
      <c r="O191" s="5">
        <v>0</v>
      </c>
      <c r="P191" s="5">
        <v>0.37</v>
      </c>
      <c r="Q191" s="5" t="s">
        <v>23</v>
      </c>
      <c r="R191" s="5">
        <v>64.600000000000009</v>
      </c>
      <c r="S191">
        <v>8.7570621468926557</v>
      </c>
      <c r="T191">
        <v>35.028248587570623</v>
      </c>
      <c r="U191">
        <v>46.045197740112997</v>
      </c>
      <c r="V191">
        <v>10.16949152542373</v>
      </c>
      <c r="W191" s="16">
        <v>3.2</v>
      </c>
      <c r="X191" s="16"/>
      <c r="Y191" s="16"/>
      <c r="Z191" s="16"/>
      <c r="AA191" s="16"/>
      <c r="AB191" s="16"/>
    </row>
    <row r="192" spans="1:28" x14ac:dyDescent="0.2">
      <c r="A192" s="3">
        <v>191</v>
      </c>
      <c r="B192" s="4" t="s">
        <v>46</v>
      </c>
      <c r="C192" s="5">
        <v>18.196000000000002</v>
      </c>
      <c r="D192" s="5">
        <v>53.77</v>
      </c>
      <c r="E192" s="5">
        <v>5.39</v>
      </c>
      <c r="F192" s="5">
        <v>0.43</v>
      </c>
      <c r="G192" s="5">
        <v>0.12</v>
      </c>
      <c r="H192" s="5">
        <v>38.340000000000003</v>
      </c>
      <c r="I192" s="5">
        <v>1.95</v>
      </c>
      <c r="J192" s="5">
        <v>0</v>
      </c>
      <c r="K192" s="5">
        <v>74.23</v>
      </c>
      <c r="L192" s="5">
        <v>23.82</v>
      </c>
      <c r="M192" s="5">
        <v>770</v>
      </c>
      <c r="N192" s="5">
        <v>40</v>
      </c>
      <c r="O192" s="5">
        <v>0.41</v>
      </c>
      <c r="P192" s="5">
        <v>0</v>
      </c>
      <c r="Q192" s="5" t="s">
        <v>44</v>
      </c>
      <c r="R192" s="5">
        <v>23.299999999999997</v>
      </c>
      <c r="S192">
        <v>41.720990873533239</v>
      </c>
      <c r="T192">
        <v>30.247718383311593</v>
      </c>
      <c r="U192">
        <v>17.07953063885267</v>
      </c>
      <c r="V192">
        <v>10.951760104302476</v>
      </c>
      <c r="W192" s="16">
        <v>9.4</v>
      </c>
      <c r="X192" s="16"/>
      <c r="Y192" s="16"/>
      <c r="Z192" s="16"/>
      <c r="AA192" s="16"/>
      <c r="AB192" s="16"/>
    </row>
    <row r="193" spans="1:33" x14ac:dyDescent="0.2">
      <c r="A193" s="3">
        <v>192</v>
      </c>
      <c r="B193" s="4" t="s">
        <v>46</v>
      </c>
      <c r="C193" s="5">
        <v>18.196000000000002</v>
      </c>
      <c r="D193" s="5">
        <v>53.77</v>
      </c>
      <c r="E193" s="5">
        <v>5.39</v>
      </c>
      <c r="F193" s="5">
        <v>0.43</v>
      </c>
      <c r="G193" s="5">
        <v>0.12</v>
      </c>
      <c r="H193" s="5">
        <v>38.340000000000003</v>
      </c>
      <c r="I193" s="5">
        <v>1.95</v>
      </c>
      <c r="J193" s="5">
        <v>0</v>
      </c>
      <c r="K193" s="5">
        <v>74.23</v>
      </c>
      <c r="L193" s="5">
        <v>23.82</v>
      </c>
      <c r="M193" s="5">
        <v>770</v>
      </c>
      <c r="N193" s="5">
        <v>40</v>
      </c>
      <c r="O193" s="5">
        <v>0.63</v>
      </c>
      <c r="P193" s="5">
        <v>0</v>
      </c>
      <c r="Q193" s="5" t="s">
        <v>44</v>
      </c>
      <c r="R193" s="5">
        <v>8.9999999999999982</v>
      </c>
      <c r="S193">
        <v>46.593406593406591</v>
      </c>
      <c r="T193">
        <v>23.956043956043956</v>
      </c>
      <c r="U193">
        <v>20.87912087912088</v>
      </c>
      <c r="V193">
        <v>8.5714285714285712</v>
      </c>
      <c r="W193" s="16">
        <v>10.1</v>
      </c>
      <c r="X193" s="16"/>
      <c r="Y193" s="16"/>
      <c r="Z193" s="16"/>
      <c r="AA193" s="16"/>
      <c r="AB193" s="16"/>
    </row>
    <row r="194" spans="1:33" x14ac:dyDescent="0.2">
      <c r="A194" s="3">
        <v>193</v>
      </c>
      <c r="B194" s="4" t="s">
        <v>46</v>
      </c>
      <c r="C194" s="5">
        <v>18.196000000000002</v>
      </c>
      <c r="D194" s="5">
        <v>53.77</v>
      </c>
      <c r="E194" s="5">
        <v>5.39</v>
      </c>
      <c r="F194" s="5">
        <v>0.43</v>
      </c>
      <c r="G194" s="5">
        <v>0.12</v>
      </c>
      <c r="H194" s="5">
        <v>38.340000000000003</v>
      </c>
      <c r="I194" s="5">
        <v>1.95</v>
      </c>
      <c r="J194" s="5">
        <v>0</v>
      </c>
      <c r="K194" s="5">
        <v>74.23</v>
      </c>
      <c r="L194" s="5">
        <v>23.82</v>
      </c>
      <c r="M194" s="5">
        <v>770</v>
      </c>
      <c r="N194" s="5">
        <v>40</v>
      </c>
      <c r="O194" s="5">
        <v>0.97</v>
      </c>
      <c r="P194" s="5">
        <v>0</v>
      </c>
      <c r="Q194" s="5" t="s">
        <v>44</v>
      </c>
      <c r="R194" s="5">
        <v>6.700000000000002</v>
      </c>
      <c r="S194">
        <v>51.446945337620576</v>
      </c>
      <c r="T194">
        <v>19.078242229367632</v>
      </c>
      <c r="U194">
        <v>23.365487674169348</v>
      </c>
      <c r="V194">
        <v>6.1093247588424449</v>
      </c>
      <c r="W194" s="16">
        <v>9.3000000000000007</v>
      </c>
      <c r="X194" s="16"/>
      <c r="Y194" s="16"/>
      <c r="Z194" s="16"/>
      <c r="AA194" s="16"/>
      <c r="AB194" s="16"/>
    </row>
    <row r="195" spans="1:33" x14ac:dyDescent="0.2">
      <c r="A195" s="3">
        <v>194</v>
      </c>
      <c r="B195" s="4" t="s">
        <v>46</v>
      </c>
      <c r="C195" s="5">
        <v>18.196000000000002</v>
      </c>
      <c r="D195" s="5">
        <v>53.77</v>
      </c>
      <c r="E195" s="5">
        <v>5.39</v>
      </c>
      <c r="F195" s="5">
        <v>0.43</v>
      </c>
      <c r="G195" s="5">
        <v>0.12</v>
      </c>
      <c r="H195" s="5">
        <v>38.340000000000003</v>
      </c>
      <c r="I195" s="5">
        <v>1.95</v>
      </c>
      <c r="J195" s="5">
        <v>0</v>
      </c>
      <c r="K195" s="5">
        <v>74.23</v>
      </c>
      <c r="L195" s="5">
        <v>23.82</v>
      </c>
      <c r="M195" s="5">
        <v>770</v>
      </c>
      <c r="N195" s="5">
        <v>40</v>
      </c>
      <c r="O195" s="5">
        <v>1.0900000000000001</v>
      </c>
      <c r="P195" s="5">
        <v>0</v>
      </c>
      <c r="Q195" s="5" t="s">
        <v>44</v>
      </c>
      <c r="R195" s="5">
        <v>3.2</v>
      </c>
      <c r="S195">
        <v>53.719008264462808</v>
      </c>
      <c r="T195">
        <v>17.561983471074381</v>
      </c>
      <c r="U195">
        <v>22.72727272727273</v>
      </c>
      <c r="V195">
        <v>5.9917355371900829</v>
      </c>
      <c r="W195" s="16">
        <v>9.9</v>
      </c>
      <c r="X195" s="16"/>
      <c r="Y195" s="16"/>
      <c r="Z195" s="16"/>
      <c r="AA195" s="16"/>
      <c r="AB195" s="16"/>
    </row>
    <row r="196" spans="1:33" x14ac:dyDescent="0.2">
      <c r="A196" s="3">
        <v>195</v>
      </c>
      <c r="B196" s="4" t="s">
        <v>47</v>
      </c>
      <c r="C196" s="5">
        <v>17.82</v>
      </c>
      <c r="D196" s="5">
        <v>49.889999999999993</v>
      </c>
      <c r="E196" s="5">
        <v>5.9099999999999993</v>
      </c>
      <c r="F196" s="5">
        <v>0.4</v>
      </c>
      <c r="G196" s="5">
        <v>0.1</v>
      </c>
      <c r="H196" s="5">
        <v>43.43</v>
      </c>
      <c r="I196" s="5">
        <v>0.27</v>
      </c>
      <c r="J196" s="5">
        <v>0</v>
      </c>
      <c r="K196" s="5">
        <v>83.17</v>
      </c>
      <c r="L196" s="5">
        <v>16.559999999999999</v>
      </c>
      <c r="M196" s="5">
        <v>770</v>
      </c>
      <c r="N196" s="5">
        <v>40</v>
      </c>
      <c r="O196" s="5">
        <v>0.41</v>
      </c>
      <c r="P196" s="5">
        <v>0</v>
      </c>
      <c r="Q196" s="5" t="s">
        <v>44</v>
      </c>
      <c r="R196" s="5">
        <v>30.599999999999998</v>
      </c>
      <c r="S196">
        <v>28.097982708933717</v>
      </c>
      <c r="T196">
        <v>41.498559077809801</v>
      </c>
      <c r="U196">
        <v>13.688760806916425</v>
      </c>
      <c r="V196">
        <v>16.714697406340058</v>
      </c>
      <c r="W196" s="16">
        <v>10</v>
      </c>
      <c r="X196" s="16"/>
      <c r="Y196" s="16"/>
      <c r="Z196" s="16"/>
      <c r="AA196" s="16"/>
      <c r="AB196" s="16"/>
    </row>
    <row r="197" spans="1:33" x14ac:dyDescent="0.2">
      <c r="A197" s="3">
        <v>196</v>
      </c>
      <c r="B197" s="4" t="s">
        <v>47</v>
      </c>
      <c r="C197" s="5">
        <v>17.82</v>
      </c>
      <c r="D197" s="5">
        <v>49.889999999999993</v>
      </c>
      <c r="E197" s="5">
        <v>5.9099999999999993</v>
      </c>
      <c r="F197" s="5">
        <v>0.4</v>
      </c>
      <c r="G197" s="5">
        <v>0.1</v>
      </c>
      <c r="H197" s="5">
        <v>43.43</v>
      </c>
      <c r="I197" s="5">
        <v>0.27</v>
      </c>
      <c r="J197" s="5">
        <v>0</v>
      </c>
      <c r="K197" s="5">
        <v>83.17</v>
      </c>
      <c r="L197" s="5">
        <v>16.559999999999999</v>
      </c>
      <c r="M197" s="5">
        <v>770</v>
      </c>
      <c r="N197" s="5">
        <v>40</v>
      </c>
      <c r="O197" s="5">
        <v>0.65</v>
      </c>
      <c r="P197" s="5">
        <v>0</v>
      </c>
      <c r="Q197" s="5" t="s">
        <v>44</v>
      </c>
      <c r="R197" s="5">
        <v>10.6</v>
      </c>
      <c r="S197">
        <v>39.709172259507831</v>
      </c>
      <c r="T197">
        <v>30.313199105145415</v>
      </c>
      <c r="U197">
        <v>17.673378076062637</v>
      </c>
      <c r="V197">
        <v>12.304250559284116</v>
      </c>
      <c r="W197" s="16">
        <v>11.2</v>
      </c>
      <c r="X197" s="16"/>
      <c r="Y197" s="16"/>
      <c r="Z197" s="16"/>
      <c r="AA197" s="16"/>
      <c r="AB197" s="16"/>
    </row>
    <row r="198" spans="1:33" x14ac:dyDescent="0.2">
      <c r="A198" s="3">
        <v>197</v>
      </c>
      <c r="B198" s="4" t="s">
        <v>47</v>
      </c>
      <c r="C198" s="5">
        <v>17.82</v>
      </c>
      <c r="D198" s="5">
        <v>49.889999999999993</v>
      </c>
      <c r="E198" s="5">
        <v>5.9099999999999993</v>
      </c>
      <c r="F198" s="5">
        <v>0.4</v>
      </c>
      <c r="G198" s="5">
        <v>0.1</v>
      </c>
      <c r="H198" s="5">
        <v>43.43</v>
      </c>
      <c r="I198" s="5">
        <v>0.27</v>
      </c>
      <c r="J198" s="5">
        <v>0</v>
      </c>
      <c r="K198" s="5">
        <v>83.17</v>
      </c>
      <c r="L198" s="5">
        <v>16.559999999999999</v>
      </c>
      <c r="M198" s="5">
        <v>770</v>
      </c>
      <c r="N198" s="5">
        <v>40</v>
      </c>
      <c r="O198" s="5">
        <v>0.96</v>
      </c>
      <c r="P198" s="5">
        <v>0</v>
      </c>
      <c r="Q198" s="5" t="s">
        <v>44</v>
      </c>
      <c r="R198" s="5">
        <v>5.2999999999999989</v>
      </c>
      <c r="S198">
        <v>57.02217529039072</v>
      </c>
      <c r="T198">
        <v>14.25554382259768</v>
      </c>
      <c r="U198">
        <v>22.808870116156289</v>
      </c>
      <c r="V198">
        <v>5.9134107708553332</v>
      </c>
      <c r="W198" s="16">
        <v>9.6</v>
      </c>
      <c r="X198" s="16"/>
      <c r="Y198" s="16"/>
      <c r="Z198" s="16"/>
      <c r="AA198" s="16"/>
      <c r="AB198" s="16"/>
    </row>
    <row r="199" spans="1:33" s="11" customFormat="1" x14ac:dyDescent="0.2">
      <c r="A199" s="8">
        <v>198</v>
      </c>
      <c r="B199" s="9" t="s">
        <v>48</v>
      </c>
      <c r="C199" s="10">
        <v>18.095253614709112</v>
      </c>
      <c r="D199" s="10">
        <v>43.066421427003299</v>
      </c>
      <c r="E199" s="10">
        <v>5.8908194291986824</v>
      </c>
      <c r="F199" s="10">
        <v>4.5313995609220642E-2</v>
      </c>
      <c r="G199" s="10">
        <v>9.0627991218441267E-3</v>
      </c>
      <c r="H199" s="10">
        <v>42.015136728869372</v>
      </c>
      <c r="I199" s="10">
        <v>0.47200878155872672</v>
      </c>
      <c r="J199" s="10">
        <v>8.9</v>
      </c>
      <c r="K199" s="10">
        <v>81.229418221734363</v>
      </c>
      <c r="L199" s="10">
        <v>18.287596048298575</v>
      </c>
      <c r="M199" s="10">
        <v>800</v>
      </c>
      <c r="N199" s="10" t="s">
        <v>22</v>
      </c>
      <c r="O199" s="10">
        <v>0</v>
      </c>
      <c r="P199" s="10">
        <v>0.19</v>
      </c>
      <c r="Q199" s="10" t="s">
        <v>23</v>
      </c>
      <c r="R199" s="10">
        <v>46.276466293502068</v>
      </c>
      <c r="S199">
        <v>21.449603624009061</v>
      </c>
      <c r="T199">
        <v>36.443941109852773</v>
      </c>
      <c r="U199">
        <v>29.648924122310305</v>
      </c>
      <c r="V199">
        <v>12.457531143827859</v>
      </c>
      <c r="W199" s="16">
        <v>5.77</v>
      </c>
      <c r="X199" s="16">
        <v>13.78</v>
      </c>
      <c r="Y199" s="16"/>
      <c r="Z199" s="16"/>
      <c r="AA199" s="16"/>
      <c r="AB199" s="16"/>
      <c r="AD199"/>
      <c r="AE199"/>
      <c r="AF199"/>
      <c r="AG199"/>
    </row>
    <row r="200" spans="1:33" s="11" customFormat="1" x14ac:dyDescent="0.2">
      <c r="A200" s="8">
        <v>199</v>
      </c>
      <c r="B200" s="9" t="s">
        <v>48</v>
      </c>
      <c r="C200" s="10">
        <v>18.095253614709112</v>
      </c>
      <c r="D200" s="10">
        <v>43.066421427003299</v>
      </c>
      <c r="E200" s="10">
        <v>5.8908194291986824</v>
      </c>
      <c r="F200" s="10">
        <v>4.5313995609220642E-2</v>
      </c>
      <c r="G200" s="10">
        <v>9.0627991218441267E-3</v>
      </c>
      <c r="H200" s="10">
        <v>42.015136728869372</v>
      </c>
      <c r="I200" s="10">
        <v>0.47200878155872672</v>
      </c>
      <c r="J200" s="10">
        <v>8.9</v>
      </c>
      <c r="K200" s="10">
        <v>81.229418221734363</v>
      </c>
      <c r="L200" s="10">
        <v>18.287596048298575</v>
      </c>
      <c r="M200" s="10">
        <v>800</v>
      </c>
      <c r="N200" s="10" t="s">
        <v>22</v>
      </c>
      <c r="O200" s="10">
        <v>0.17</v>
      </c>
      <c r="P200" s="10">
        <v>0.28999999999999998</v>
      </c>
      <c r="Q200" s="10" t="s">
        <v>90</v>
      </c>
      <c r="R200" s="10">
        <v>20.481436148510813</v>
      </c>
      <c r="S200">
        <v>25.517359329570716</v>
      </c>
      <c r="T200">
        <v>32.888660851718818</v>
      </c>
      <c r="U200">
        <v>30.836326321190349</v>
      </c>
      <c r="V200">
        <v>10.757653497520096</v>
      </c>
      <c r="W200" s="16">
        <v>7.27</v>
      </c>
      <c r="X200" s="16">
        <v>18.670000000000002</v>
      </c>
      <c r="Y200" s="16"/>
      <c r="Z200" s="16"/>
      <c r="AA200" s="16"/>
      <c r="AB200" s="16"/>
      <c r="AD200"/>
      <c r="AE200"/>
      <c r="AF200"/>
      <c r="AG200"/>
    </row>
    <row r="201" spans="1:33" s="11" customFormat="1" x14ac:dyDescent="0.2">
      <c r="A201" s="8">
        <v>200</v>
      </c>
      <c r="B201" s="9" t="s">
        <v>48</v>
      </c>
      <c r="C201" s="10">
        <v>18.095253614709112</v>
      </c>
      <c r="D201" s="10">
        <v>43.066421427003299</v>
      </c>
      <c r="E201" s="10">
        <v>5.8908194291986824</v>
      </c>
      <c r="F201" s="10">
        <v>4.5313995609220642E-2</v>
      </c>
      <c r="G201" s="10">
        <v>9.0627991218441267E-3</v>
      </c>
      <c r="H201" s="10">
        <v>42.015136728869372</v>
      </c>
      <c r="I201" s="10">
        <v>0.47200878155872672</v>
      </c>
      <c r="J201" s="10">
        <v>8.9</v>
      </c>
      <c r="K201" s="10">
        <v>81.229418221734363</v>
      </c>
      <c r="L201" s="10">
        <v>18.287596048298575</v>
      </c>
      <c r="M201" s="10">
        <v>800</v>
      </c>
      <c r="N201" s="10" t="s">
        <v>22</v>
      </c>
      <c r="O201" s="10">
        <v>0.17</v>
      </c>
      <c r="P201" s="10">
        <v>0.28999999999999998</v>
      </c>
      <c r="Q201" s="10" t="s">
        <v>90</v>
      </c>
      <c r="R201" s="10">
        <v>8.2332761578044611</v>
      </c>
      <c r="S201">
        <v>25.062305295950154</v>
      </c>
      <c r="T201">
        <v>33.489096573208712</v>
      </c>
      <c r="U201">
        <v>30.389408099688474</v>
      </c>
      <c r="V201">
        <v>11.059190031152646</v>
      </c>
      <c r="W201" s="16">
        <v>8.26</v>
      </c>
      <c r="X201" s="16">
        <v>19.55</v>
      </c>
      <c r="Y201" s="16"/>
      <c r="Z201" s="16"/>
      <c r="AA201" s="16"/>
      <c r="AB201" s="16"/>
      <c r="AD201"/>
      <c r="AE201"/>
      <c r="AF201"/>
      <c r="AG201"/>
    </row>
    <row r="202" spans="1:33" s="11" customFormat="1" x14ac:dyDescent="0.2">
      <c r="A202" s="8">
        <v>201</v>
      </c>
      <c r="B202" s="9" t="s">
        <v>49</v>
      </c>
      <c r="C202" s="10">
        <v>17.499943600000002</v>
      </c>
      <c r="D202" s="10">
        <v>42.741148800000005</v>
      </c>
      <c r="E202" s="10">
        <v>5.7281952</v>
      </c>
      <c r="F202" s="10">
        <v>0.12851720000000003</v>
      </c>
      <c r="G202" s="10">
        <v>1.83596E-2</v>
      </c>
      <c r="H202" s="10">
        <v>42.3464174</v>
      </c>
      <c r="I202" s="10">
        <v>1.952</v>
      </c>
      <c r="J202" s="10">
        <v>6.25</v>
      </c>
      <c r="K202" s="10">
        <v>80.117333333333335</v>
      </c>
      <c r="L202" s="10">
        <v>17.930666666666664</v>
      </c>
      <c r="M202" s="10">
        <v>800</v>
      </c>
      <c r="N202" s="10"/>
      <c r="O202" s="5">
        <v>0</v>
      </c>
      <c r="P202" s="10">
        <v>0.2</v>
      </c>
      <c r="Q202" s="10" t="s">
        <v>23</v>
      </c>
      <c r="R202" s="10">
        <v>45.324660239284476</v>
      </c>
      <c r="S202">
        <v>24.070533248353517</v>
      </c>
      <c r="T202">
        <v>35.92521776078182</v>
      </c>
      <c r="U202">
        <v>28.808158062460166</v>
      </c>
      <c r="V202">
        <v>11.196090928404502</v>
      </c>
      <c r="W202" s="16">
        <v>5.58</v>
      </c>
      <c r="X202" s="16"/>
      <c r="Y202" s="16"/>
      <c r="Z202" s="16"/>
      <c r="AA202" s="16"/>
      <c r="AB202" s="16"/>
      <c r="AD202"/>
      <c r="AE202"/>
      <c r="AF202"/>
      <c r="AG202"/>
    </row>
    <row r="203" spans="1:33" s="11" customFormat="1" x14ac:dyDescent="0.2">
      <c r="A203" s="8">
        <v>202</v>
      </c>
      <c r="B203" s="9" t="s">
        <v>49</v>
      </c>
      <c r="C203" s="10">
        <v>17.499943600000002</v>
      </c>
      <c r="D203" s="10">
        <v>42.741148800000005</v>
      </c>
      <c r="E203" s="10">
        <v>5.7281952</v>
      </c>
      <c r="F203" s="10">
        <v>0.12851720000000003</v>
      </c>
      <c r="G203" s="10">
        <v>1.83596E-2</v>
      </c>
      <c r="H203" s="10">
        <v>42.3464174</v>
      </c>
      <c r="I203" s="10">
        <v>1.952</v>
      </c>
      <c r="J203" s="10">
        <v>6.25</v>
      </c>
      <c r="K203" s="10">
        <v>80.117333333333335</v>
      </c>
      <c r="L203" s="10">
        <v>17.930666666666664</v>
      </c>
      <c r="M203" s="10">
        <v>800</v>
      </c>
      <c r="N203" s="10" t="s">
        <v>22</v>
      </c>
      <c r="O203" s="10">
        <v>0.15</v>
      </c>
      <c r="P203" s="10">
        <v>0.28000000000000003</v>
      </c>
      <c r="Q203" s="10" t="s">
        <v>90</v>
      </c>
      <c r="R203" s="10">
        <v>23.563674874238817</v>
      </c>
      <c r="S203">
        <v>26.047800484932456</v>
      </c>
      <c r="T203">
        <v>31.86698995497056</v>
      </c>
      <c r="U203">
        <v>31.035677173536552</v>
      </c>
      <c r="V203">
        <v>11.049532386560442</v>
      </c>
      <c r="W203" s="16">
        <v>7.11</v>
      </c>
      <c r="X203" s="16">
        <v>8.18</v>
      </c>
      <c r="Y203" s="16"/>
      <c r="Z203" s="16"/>
      <c r="AA203" s="16"/>
      <c r="AB203" s="16"/>
      <c r="AD203"/>
      <c r="AE203"/>
      <c r="AF203"/>
      <c r="AG203"/>
    </row>
    <row r="204" spans="1:33" s="11" customFormat="1" x14ac:dyDescent="0.2">
      <c r="A204" s="8">
        <v>203</v>
      </c>
      <c r="B204" s="9" t="s">
        <v>49</v>
      </c>
      <c r="C204" s="10">
        <v>17.499943600000002</v>
      </c>
      <c r="D204" s="10">
        <v>42.741148800000005</v>
      </c>
      <c r="E204" s="10">
        <v>5.7281952</v>
      </c>
      <c r="F204" s="10">
        <v>0.12851720000000003</v>
      </c>
      <c r="G204" s="10">
        <v>1.83596E-2</v>
      </c>
      <c r="H204" s="10">
        <v>42.3464174</v>
      </c>
      <c r="I204" s="10">
        <v>1.952</v>
      </c>
      <c r="J204" s="10">
        <v>6.25</v>
      </c>
      <c r="K204" s="10">
        <v>80.117333333333335</v>
      </c>
      <c r="L204" s="10">
        <v>17.930666666666664</v>
      </c>
      <c r="M204" s="10">
        <v>800</v>
      </c>
      <c r="N204" s="10" t="s">
        <v>22</v>
      </c>
      <c r="O204" s="10">
        <v>0.18</v>
      </c>
      <c r="P204" s="10">
        <v>0.31</v>
      </c>
      <c r="Q204" s="10" t="s">
        <v>90</v>
      </c>
      <c r="R204" s="10">
        <v>7.6157000585823091</v>
      </c>
      <c r="S204">
        <v>26.39505389980976</v>
      </c>
      <c r="T204">
        <v>31.594800253646167</v>
      </c>
      <c r="U204">
        <v>31.19847812301839</v>
      </c>
      <c r="V204">
        <v>10.811667723525684</v>
      </c>
      <c r="W204" s="16">
        <v>8.09</v>
      </c>
      <c r="X204" s="16">
        <v>6.62</v>
      </c>
      <c r="Y204" s="16"/>
      <c r="Z204" s="16"/>
      <c r="AA204" s="16"/>
      <c r="AB204" s="16"/>
      <c r="AD204"/>
      <c r="AE204"/>
      <c r="AF204"/>
      <c r="AG204"/>
    </row>
    <row r="205" spans="1:33" s="11" customFormat="1" x14ac:dyDescent="0.2">
      <c r="A205" s="8">
        <v>204</v>
      </c>
      <c r="B205" s="9" t="s">
        <v>50</v>
      </c>
      <c r="C205" s="10">
        <v>15.619681969761155</v>
      </c>
      <c r="D205" s="10">
        <v>33.395438875985413</v>
      </c>
      <c r="E205" s="10">
        <v>5.9173350641251909</v>
      </c>
      <c r="F205" s="10">
        <v>1.1667984633486292</v>
      </c>
      <c r="G205" s="10">
        <v>0.14168267054947642</v>
      </c>
      <c r="H205" s="10">
        <v>42.088087427932699</v>
      </c>
      <c r="I205" s="10">
        <v>1.6472526179550537</v>
      </c>
      <c r="J205" s="10">
        <v>15.01</v>
      </c>
      <c r="K205" s="10">
        <v>78.162136721967315</v>
      </c>
      <c r="L205" s="10">
        <v>20.178844569949405</v>
      </c>
      <c r="M205" s="10">
        <v>800</v>
      </c>
      <c r="N205" s="10" t="s">
        <v>22</v>
      </c>
      <c r="O205" s="10">
        <v>0</v>
      </c>
      <c r="P205" s="10">
        <v>0.22</v>
      </c>
      <c r="Q205" s="10" t="s">
        <v>23</v>
      </c>
      <c r="R205" s="10">
        <v>57.025359835503764</v>
      </c>
      <c r="S205">
        <v>14.130781499202552</v>
      </c>
      <c r="T205">
        <v>39.617224880382778</v>
      </c>
      <c r="U205">
        <v>34.800637958532697</v>
      </c>
      <c r="V205">
        <v>11.45135566188198</v>
      </c>
      <c r="W205" s="16">
        <v>4.28</v>
      </c>
      <c r="X205" s="16">
        <v>13.47</v>
      </c>
      <c r="Y205" s="16"/>
      <c r="Z205" s="16"/>
      <c r="AA205" s="16"/>
      <c r="AB205" s="16"/>
      <c r="AD205"/>
      <c r="AE205"/>
      <c r="AF205"/>
      <c r="AG205"/>
    </row>
    <row r="206" spans="1:33" s="11" customFormat="1" x14ac:dyDescent="0.2">
      <c r="A206" s="8">
        <v>205</v>
      </c>
      <c r="B206" s="9" t="s">
        <v>50</v>
      </c>
      <c r="C206" s="10">
        <v>15.619681969761155</v>
      </c>
      <c r="D206" s="10">
        <v>33.395438875985413</v>
      </c>
      <c r="E206" s="10">
        <v>5.9173350641251909</v>
      </c>
      <c r="F206" s="10">
        <v>1.1667984633486292</v>
      </c>
      <c r="G206" s="10">
        <v>0.14168267054947642</v>
      </c>
      <c r="H206" s="10">
        <v>42.088087427932699</v>
      </c>
      <c r="I206" s="10">
        <v>1.6472526179550537</v>
      </c>
      <c r="J206" s="10">
        <v>15.01</v>
      </c>
      <c r="K206" s="10">
        <v>78.162136721967315</v>
      </c>
      <c r="L206" s="10">
        <v>20.178844569949405</v>
      </c>
      <c r="M206" s="10">
        <v>800</v>
      </c>
      <c r="N206" s="10"/>
      <c r="O206" s="10">
        <v>0.17</v>
      </c>
      <c r="P206" s="10">
        <v>0.34</v>
      </c>
      <c r="Q206" s="10" t="s">
        <v>90</v>
      </c>
      <c r="R206" s="10">
        <v>30.585424133811234</v>
      </c>
      <c r="S206">
        <v>15.66265060240964</v>
      </c>
      <c r="T206">
        <v>37.550200803212853</v>
      </c>
      <c r="U206">
        <v>34.91107286288009</v>
      </c>
      <c r="V206">
        <v>11.876075731497417</v>
      </c>
      <c r="W206" s="16">
        <v>5.22</v>
      </c>
      <c r="X206" s="16"/>
      <c r="Y206" s="16"/>
      <c r="Z206" s="16"/>
      <c r="AA206" s="16"/>
      <c r="AB206" s="16"/>
      <c r="AD206"/>
      <c r="AE206"/>
      <c r="AF206"/>
      <c r="AG206"/>
    </row>
    <row r="207" spans="1:33" s="11" customFormat="1" x14ac:dyDescent="0.2">
      <c r="A207" s="8">
        <v>206</v>
      </c>
      <c r="B207" s="9" t="s">
        <v>50</v>
      </c>
      <c r="C207" s="10">
        <v>15.619681969761155</v>
      </c>
      <c r="D207" s="10">
        <v>33.395438875985413</v>
      </c>
      <c r="E207" s="10">
        <v>5.9173350641251909</v>
      </c>
      <c r="F207" s="10">
        <v>1.1667984633486292</v>
      </c>
      <c r="G207" s="10">
        <v>0.14168267054947642</v>
      </c>
      <c r="H207" s="10">
        <v>42.088087427932699</v>
      </c>
      <c r="I207" s="10">
        <v>1.6472526179550537</v>
      </c>
      <c r="J207" s="10">
        <v>15.01</v>
      </c>
      <c r="K207" s="10">
        <v>78.162136721967315</v>
      </c>
      <c r="L207" s="10">
        <v>20.178844569949405</v>
      </c>
      <c r="M207" s="10">
        <v>800</v>
      </c>
      <c r="N207" s="10" t="s">
        <v>22</v>
      </c>
      <c r="O207" s="10">
        <v>0.17</v>
      </c>
      <c r="P207" s="10">
        <v>0.34</v>
      </c>
      <c r="Q207" s="10" t="s">
        <v>90</v>
      </c>
      <c r="R207" s="10">
        <v>12.140266021765417</v>
      </c>
      <c r="S207">
        <v>16.129920176162951</v>
      </c>
      <c r="T207">
        <v>37.131846958436547</v>
      </c>
      <c r="U207">
        <v>35.067437379576099</v>
      </c>
      <c r="V207">
        <v>11.670795485824387</v>
      </c>
      <c r="W207" s="16">
        <v>5.49</v>
      </c>
      <c r="X207" s="16">
        <v>11.39</v>
      </c>
      <c r="Y207" s="16"/>
      <c r="Z207" s="16"/>
      <c r="AA207" s="16"/>
      <c r="AB207" s="16"/>
      <c r="AD207"/>
      <c r="AE207"/>
      <c r="AF207"/>
      <c r="AG207"/>
    </row>
    <row r="208" spans="1:33" x14ac:dyDescent="0.2">
      <c r="A208" s="3">
        <v>207</v>
      </c>
      <c r="B208" s="4" t="s">
        <v>51</v>
      </c>
      <c r="C208" s="5">
        <v>18.4533212268</v>
      </c>
      <c r="D208" s="5">
        <v>44.42073938189845</v>
      </c>
      <c r="E208" s="5">
        <v>5.4569162913907281</v>
      </c>
      <c r="F208" s="5">
        <v>3.6019249448123618E-2</v>
      </c>
      <c r="G208" s="5">
        <v>0</v>
      </c>
      <c r="H208" s="5">
        <v>40.134448697571742</v>
      </c>
      <c r="I208" s="5">
        <v>0.55187637969094927</v>
      </c>
      <c r="J208" s="5">
        <v>9.4</v>
      </c>
      <c r="K208" s="5">
        <v>81.015452538631365</v>
      </c>
      <c r="L208" s="5">
        <v>18.432671081677704</v>
      </c>
      <c r="M208" s="5">
        <v>800</v>
      </c>
      <c r="N208" s="5">
        <v>20</v>
      </c>
      <c r="O208" s="5">
        <v>1.22</v>
      </c>
      <c r="P208" s="5">
        <v>0</v>
      </c>
      <c r="Q208" s="5" t="s">
        <v>44</v>
      </c>
      <c r="R208" s="5">
        <v>0</v>
      </c>
      <c r="S208">
        <v>30.107526881720435</v>
      </c>
      <c r="T208">
        <v>44.086021505376351</v>
      </c>
      <c r="U208">
        <v>13.440860215053766</v>
      </c>
      <c r="V208">
        <v>12.365591397849464</v>
      </c>
      <c r="W208" s="5">
        <v>15.595450000000001</v>
      </c>
      <c r="X208" s="5">
        <v>364</v>
      </c>
      <c r="Y208" s="5">
        <v>0.73</v>
      </c>
      <c r="Z208" s="5">
        <v>8.9</v>
      </c>
      <c r="AA208" s="5">
        <v>61.694468762977394</v>
      </c>
      <c r="AB208" s="5">
        <v>50</v>
      </c>
    </row>
    <row r="209" spans="1:28" x14ac:dyDescent="0.2">
      <c r="A209" s="3">
        <v>208</v>
      </c>
      <c r="B209" s="4" t="s">
        <v>51</v>
      </c>
      <c r="C209" s="5">
        <v>18.4533212268</v>
      </c>
      <c r="D209" s="5">
        <v>44.42073938189845</v>
      </c>
      <c r="E209" s="5">
        <v>5.4569162913907281</v>
      </c>
      <c r="F209" s="5">
        <v>3.6019249448123618E-2</v>
      </c>
      <c r="G209" s="5">
        <v>0</v>
      </c>
      <c r="H209" s="5">
        <v>40.134448697571742</v>
      </c>
      <c r="I209" s="5">
        <v>0.55187637969094927</v>
      </c>
      <c r="J209" s="5">
        <v>9.4</v>
      </c>
      <c r="K209" s="5">
        <v>81.015452538631365</v>
      </c>
      <c r="L209" s="5">
        <v>18.432671081677704</v>
      </c>
      <c r="M209" s="5">
        <v>850</v>
      </c>
      <c r="N209" s="5">
        <v>20</v>
      </c>
      <c r="O209" s="5">
        <v>1.22</v>
      </c>
      <c r="P209" s="5">
        <v>0</v>
      </c>
      <c r="Q209" s="5" t="s">
        <v>44</v>
      </c>
      <c r="R209" s="5">
        <v>0</v>
      </c>
      <c r="S209">
        <v>34.920634920634917</v>
      </c>
      <c r="T209">
        <v>39.682539682539684</v>
      </c>
      <c r="U209">
        <v>14.814814814814813</v>
      </c>
      <c r="V209">
        <v>10.582010582010582</v>
      </c>
      <c r="W209" s="5">
        <v>14.262345</v>
      </c>
      <c r="X209" s="5">
        <v>245</v>
      </c>
      <c r="Y209" s="5">
        <v>0.84499999999999997</v>
      </c>
      <c r="Z209" s="5">
        <v>6.3</v>
      </c>
      <c r="AA209" s="5">
        <v>65.309010648431055</v>
      </c>
      <c r="AB209" s="5">
        <v>59</v>
      </c>
    </row>
    <row r="210" spans="1:28" x14ac:dyDescent="0.2">
      <c r="A210" s="3">
        <v>209</v>
      </c>
      <c r="B210" s="4" t="s">
        <v>51</v>
      </c>
      <c r="C210" s="5">
        <v>18.4533212268</v>
      </c>
      <c r="D210" s="5">
        <v>44.42073938189845</v>
      </c>
      <c r="E210" s="5">
        <v>5.4569162913907281</v>
      </c>
      <c r="F210" s="5">
        <v>3.6019249448123618E-2</v>
      </c>
      <c r="G210" s="5">
        <v>0</v>
      </c>
      <c r="H210" s="5">
        <v>40.134448697571742</v>
      </c>
      <c r="I210" s="5">
        <v>0.55187637969094927</v>
      </c>
      <c r="J210" s="5">
        <v>9.4</v>
      </c>
      <c r="K210" s="5">
        <v>81.015452538631365</v>
      </c>
      <c r="L210" s="5">
        <v>18.432671081677704</v>
      </c>
      <c r="M210" s="5">
        <v>900</v>
      </c>
      <c r="N210" s="5">
        <v>20</v>
      </c>
      <c r="O210" s="5">
        <v>1.22</v>
      </c>
      <c r="P210" s="5">
        <v>0</v>
      </c>
      <c r="Q210" s="5" t="s">
        <v>44</v>
      </c>
      <c r="R210" s="5">
        <v>0</v>
      </c>
      <c r="S210">
        <v>39.790575916230367</v>
      </c>
      <c r="T210">
        <v>34.031413612565444</v>
      </c>
      <c r="U210">
        <v>17.277486910994764</v>
      </c>
      <c r="V210">
        <v>8.9005235602094235</v>
      </c>
      <c r="W210" s="5">
        <v>13.631599999999999</v>
      </c>
      <c r="X210" s="5">
        <v>142</v>
      </c>
      <c r="Y210" s="5">
        <v>0.96</v>
      </c>
      <c r="Z210" s="5">
        <v>4.5</v>
      </c>
      <c r="AA210" s="5">
        <v>70.915884675515969</v>
      </c>
      <c r="AB210" s="5">
        <v>70</v>
      </c>
    </row>
    <row r="211" spans="1:28" x14ac:dyDescent="0.2">
      <c r="A211" s="3">
        <v>210</v>
      </c>
      <c r="B211" s="4" t="s">
        <v>51</v>
      </c>
      <c r="C211" s="5">
        <v>18.4533212268</v>
      </c>
      <c r="D211" s="5">
        <v>44.42073938189845</v>
      </c>
      <c r="E211" s="5">
        <v>5.4569162913907281</v>
      </c>
      <c r="F211" s="5">
        <v>3.6019249448123618E-2</v>
      </c>
      <c r="G211" s="5">
        <v>0</v>
      </c>
      <c r="H211" s="5">
        <v>40.134448697571742</v>
      </c>
      <c r="I211" s="5">
        <v>0.55187637969094927</v>
      </c>
      <c r="J211" s="5">
        <v>9.4</v>
      </c>
      <c r="K211" s="5">
        <v>81.015452538631365</v>
      </c>
      <c r="L211" s="5">
        <v>18.432671081677704</v>
      </c>
      <c r="M211" s="5">
        <v>900</v>
      </c>
      <c r="N211" s="5">
        <v>20</v>
      </c>
      <c r="O211" s="5">
        <v>0.11</v>
      </c>
      <c r="P211" s="5">
        <v>0</v>
      </c>
      <c r="Q211" s="5" t="s">
        <v>44</v>
      </c>
      <c r="R211" s="5">
        <v>0</v>
      </c>
      <c r="S211">
        <v>29.842931937172768</v>
      </c>
      <c r="T211">
        <v>52.356020942408364</v>
      </c>
      <c r="U211">
        <v>7.3298429319371712</v>
      </c>
      <c r="V211">
        <v>10.471204188481673</v>
      </c>
      <c r="W211" s="5">
        <v>15.356235000000002</v>
      </c>
      <c r="X211" s="5">
        <v>154</v>
      </c>
      <c r="Y211" s="5">
        <v>0.78501664117231684</v>
      </c>
      <c r="Z211" s="5">
        <v>10.7</v>
      </c>
      <c r="AA211" s="5">
        <v>65.326451930210183</v>
      </c>
      <c r="AB211" s="5">
        <v>62.5</v>
      </c>
    </row>
    <row r="212" spans="1:28" x14ac:dyDescent="0.2">
      <c r="A212" s="3">
        <v>211</v>
      </c>
      <c r="B212" s="4" t="s">
        <v>51</v>
      </c>
      <c r="C212" s="5">
        <v>18.4533212268</v>
      </c>
      <c r="D212" s="5">
        <v>44.42073938189845</v>
      </c>
      <c r="E212" s="5">
        <v>5.4569162913907281</v>
      </c>
      <c r="F212" s="5">
        <v>3.6019249448123618E-2</v>
      </c>
      <c r="G212" s="5">
        <v>0</v>
      </c>
      <c r="H212" s="5">
        <v>40.134448697571742</v>
      </c>
      <c r="I212" s="5">
        <v>0.55187637969094927</v>
      </c>
      <c r="J212" s="5">
        <v>9.4</v>
      </c>
      <c r="K212" s="5">
        <v>81.015452538631365</v>
      </c>
      <c r="L212" s="5">
        <v>18.432671081677704</v>
      </c>
      <c r="M212" s="5">
        <v>900</v>
      </c>
      <c r="N212" s="5">
        <v>20</v>
      </c>
      <c r="O212" s="5">
        <v>2.33</v>
      </c>
      <c r="P212" s="5">
        <v>0</v>
      </c>
      <c r="Q212" s="5" t="s">
        <v>44</v>
      </c>
      <c r="R212" s="5">
        <v>0</v>
      </c>
      <c r="S212">
        <v>42.487046632124354</v>
      </c>
      <c r="T212">
        <v>31.088082901554404</v>
      </c>
      <c r="U212">
        <v>18.652849740932641</v>
      </c>
      <c r="V212">
        <v>7.7720207253886011</v>
      </c>
      <c r="W212" s="5">
        <v>12.983149999999998</v>
      </c>
      <c r="X212" s="5">
        <v>142</v>
      </c>
      <c r="Y212" s="5">
        <v>1.0111091225292308</v>
      </c>
      <c r="Z212" s="5">
        <v>3.6</v>
      </c>
      <c r="AA212" s="5">
        <v>71.1383129509517</v>
      </c>
      <c r="AB212" s="5">
        <v>70</v>
      </c>
    </row>
    <row r="213" spans="1:28" x14ac:dyDescent="0.2">
      <c r="A213" s="3">
        <v>212</v>
      </c>
      <c r="B213" s="4" t="s">
        <v>51</v>
      </c>
      <c r="C213" s="5">
        <v>18.4533212268</v>
      </c>
      <c r="D213" s="5">
        <v>44.42073938189845</v>
      </c>
      <c r="E213" s="5">
        <v>5.4569162913907281</v>
      </c>
      <c r="F213" s="5">
        <v>3.6019249448123618E-2</v>
      </c>
      <c r="G213" s="5">
        <v>0</v>
      </c>
      <c r="H213" s="5">
        <v>40.134448697571742</v>
      </c>
      <c r="I213" s="5">
        <v>0.55187637969094927</v>
      </c>
      <c r="J213" s="5">
        <v>9.4</v>
      </c>
      <c r="K213" s="5">
        <v>81.015452538631365</v>
      </c>
      <c r="L213" s="5">
        <v>18.432671081677704</v>
      </c>
      <c r="M213" s="5">
        <v>850</v>
      </c>
      <c r="N213" s="5">
        <v>20</v>
      </c>
      <c r="O213" s="5">
        <v>1.22</v>
      </c>
      <c r="P213" s="5">
        <v>0</v>
      </c>
      <c r="Q213" s="5" t="s">
        <v>44</v>
      </c>
      <c r="R213" s="5">
        <v>0</v>
      </c>
      <c r="S213">
        <v>33.15789473684211</v>
      </c>
      <c r="T213">
        <v>42.10526315789474</v>
      </c>
      <c r="U213">
        <v>14.210526315789473</v>
      </c>
      <c r="V213">
        <v>10.526315789473685</v>
      </c>
      <c r="W213" s="5">
        <v>15.010995000000001</v>
      </c>
      <c r="X213" s="5">
        <v>243</v>
      </c>
      <c r="Y213" s="5">
        <v>0.74402707163040749</v>
      </c>
      <c r="Z213" s="5">
        <v>6.2</v>
      </c>
      <c r="AA213" s="5">
        <v>60.523450032877584</v>
      </c>
      <c r="AB213" s="5">
        <v>59</v>
      </c>
    </row>
    <row r="214" spans="1:28" x14ac:dyDescent="0.2">
      <c r="A214" s="3">
        <v>213</v>
      </c>
      <c r="B214" s="4" t="s">
        <v>51</v>
      </c>
      <c r="C214" s="5">
        <v>18.4533212268</v>
      </c>
      <c r="D214" s="5">
        <v>44.42073938189845</v>
      </c>
      <c r="E214" s="5">
        <v>5.4569162913907281</v>
      </c>
      <c r="F214" s="5">
        <v>3.6019249448123618E-2</v>
      </c>
      <c r="G214" s="5">
        <v>0</v>
      </c>
      <c r="H214" s="5">
        <v>40.134448697571742</v>
      </c>
      <c r="I214" s="5">
        <v>0.55187637969094927</v>
      </c>
      <c r="J214" s="5">
        <v>9.4</v>
      </c>
      <c r="K214" s="5">
        <v>81.015452538631365</v>
      </c>
      <c r="L214" s="5">
        <v>18.432671081677704</v>
      </c>
      <c r="M214" s="5">
        <v>850</v>
      </c>
      <c r="N214" s="5">
        <v>20</v>
      </c>
      <c r="O214" s="5">
        <v>1.22</v>
      </c>
      <c r="P214" s="5">
        <v>0</v>
      </c>
      <c r="Q214" s="5" t="s">
        <v>44</v>
      </c>
      <c r="R214" s="5">
        <v>0</v>
      </c>
      <c r="S214">
        <v>30.158730158730158</v>
      </c>
      <c r="T214">
        <v>39.682539682539684</v>
      </c>
      <c r="U214">
        <v>17.989417989417987</v>
      </c>
      <c r="V214">
        <v>12.169312169312169</v>
      </c>
      <c r="W214" s="5">
        <v>14.909925000000001</v>
      </c>
      <c r="X214" s="5">
        <v>263</v>
      </c>
      <c r="Y214" s="5">
        <v>0.71624030533042926</v>
      </c>
      <c r="Z214" s="5">
        <v>6.4</v>
      </c>
      <c r="AA214" s="5">
        <v>57.870825003275947</v>
      </c>
      <c r="AB214" s="5">
        <v>59</v>
      </c>
    </row>
    <row r="215" spans="1:28" x14ac:dyDescent="0.2">
      <c r="A215" s="3">
        <v>214</v>
      </c>
      <c r="B215" s="4" t="s">
        <v>48</v>
      </c>
      <c r="C215" s="5">
        <v>18.5</v>
      </c>
      <c r="D215" s="5">
        <v>45.039032786885251</v>
      </c>
      <c r="E215" s="5">
        <v>5.3791557377049184</v>
      </c>
      <c r="F215" s="5">
        <v>9.1172131147540997E-2</v>
      </c>
      <c r="G215" s="5">
        <v>0</v>
      </c>
      <c r="H215" s="5">
        <v>40.571598360655742</v>
      </c>
      <c r="I215" s="5">
        <v>0.32786885245901642</v>
      </c>
      <c r="J215" s="5">
        <v>8.5</v>
      </c>
      <c r="K215" s="5">
        <v>80.983606557377044</v>
      </c>
      <c r="L215" s="5">
        <v>18.688524590163937</v>
      </c>
      <c r="M215" s="5">
        <v>780</v>
      </c>
      <c r="N215" s="5">
        <v>40</v>
      </c>
      <c r="O215" s="5">
        <v>0</v>
      </c>
      <c r="P215" s="5">
        <v>0.3</v>
      </c>
      <c r="Q215" s="5" t="s">
        <v>23</v>
      </c>
      <c r="R215" s="5">
        <v>52.929394091136707</v>
      </c>
      <c r="S215">
        <v>29.787234042553195</v>
      </c>
      <c r="T215">
        <v>35.106382978723403</v>
      </c>
      <c r="U215">
        <v>27.659574468085108</v>
      </c>
      <c r="V215">
        <v>7.4468085106382986</v>
      </c>
      <c r="W215" s="6">
        <v>4.5751612000000002</v>
      </c>
      <c r="X215" s="6"/>
      <c r="Y215" s="5">
        <v>2.1835296207705204</v>
      </c>
      <c r="Z215" s="6"/>
      <c r="AA215" s="5">
        <v>54</v>
      </c>
      <c r="AB215" s="5">
        <v>74.955037283849492</v>
      </c>
    </row>
    <row r="216" spans="1:28" x14ac:dyDescent="0.2">
      <c r="A216" s="3">
        <v>215</v>
      </c>
      <c r="B216" s="4" t="s">
        <v>48</v>
      </c>
      <c r="C216" s="5">
        <v>18.5</v>
      </c>
      <c r="D216" s="5">
        <v>45.039032786885251</v>
      </c>
      <c r="E216" s="5">
        <v>5.3791557377049184</v>
      </c>
      <c r="F216" s="5">
        <v>9.1172131147540997E-2</v>
      </c>
      <c r="G216" s="5">
        <v>0</v>
      </c>
      <c r="H216" s="5">
        <v>40.571598360655742</v>
      </c>
      <c r="I216" s="5">
        <v>0.32786885245901642</v>
      </c>
      <c r="J216" s="5">
        <v>8.5</v>
      </c>
      <c r="K216" s="5">
        <v>80.983606557377044</v>
      </c>
      <c r="L216" s="5">
        <v>18.688524590163937</v>
      </c>
      <c r="M216" s="5">
        <v>780</v>
      </c>
      <c r="N216" s="5">
        <v>40</v>
      </c>
      <c r="O216" s="5">
        <v>0.65</v>
      </c>
      <c r="P216" s="5">
        <v>0.28999999999999998</v>
      </c>
      <c r="Q216" s="5" t="s">
        <v>29</v>
      </c>
      <c r="R216" s="5">
        <v>42.465479287572542</v>
      </c>
      <c r="S216">
        <v>43.478260869565219</v>
      </c>
      <c r="T216">
        <v>24.34782608695652</v>
      </c>
      <c r="U216">
        <v>28.695652173913039</v>
      </c>
      <c r="V216">
        <v>3.4782608695652173</v>
      </c>
      <c r="W216" s="6">
        <v>5.0561886719999993</v>
      </c>
      <c r="X216" s="6"/>
      <c r="Y216" s="5">
        <v>2.5978065400799983</v>
      </c>
      <c r="Z216" s="6"/>
      <c r="AA216" s="5">
        <v>71</v>
      </c>
      <c r="AB216" s="5">
        <v>88.32639898171999</v>
      </c>
    </row>
    <row r="217" spans="1:28" x14ac:dyDescent="0.2">
      <c r="A217" s="3">
        <v>216</v>
      </c>
      <c r="B217" s="4" t="s">
        <v>48</v>
      </c>
      <c r="C217" s="5">
        <v>18.5</v>
      </c>
      <c r="D217" s="5">
        <v>45.039032786885251</v>
      </c>
      <c r="E217" s="5">
        <v>5.3791557377049184</v>
      </c>
      <c r="F217" s="5">
        <v>9.1172131147540997E-2</v>
      </c>
      <c r="G217" s="5">
        <v>0</v>
      </c>
      <c r="H217" s="5">
        <v>40.571598360655742</v>
      </c>
      <c r="I217" s="5">
        <v>0.32786885245901642</v>
      </c>
      <c r="J217" s="5">
        <v>8.5</v>
      </c>
      <c r="K217" s="5">
        <v>80.983606557377044</v>
      </c>
      <c r="L217" s="5">
        <v>18.688524590163937</v>
      </c>
      <c r="M217" s="5">
        <v>780</v>
      </c>
      <c r="N217" s="5">
        <v>40</v>
      </c>
      <c r="O217" s="5">
        <v>0.91</v>
      </c>
      <c r="P217" s="5">
        <v>0.28999999999999998</v>
      </c>
      <c r="Q217" s="5" t="s">
        <v>29</v>
      </c>
      <c r="R217" s="5">
        <v>47.979191676670666</v>
      </c>
      <c r="S217">
        <v>45.192307692307693</v>
      </c>
      <c r="T217">
        <v>22.115384615384617</v>
      </c>
      <c r="U217">
        <v>28.84615384615385</v>
      </c>
      <c r="V217">
        <v>3.8461538461538463</v>
      </c>
      <c r="W217" s="6">
        <v>4.4630105520000001</v>
      </c>
      <c r="X217" s="6"/>
      <c r="Y217" s="5">
        <v>2.5700140894490988</v>
      </c>
      <c r="Z217" s="6"/>
      <c r="AA217" s="5">
        <v>62</v>
      </c>
      <c r="AB217" s="5">
        <v>76.707785770963994</v>
      </c>
    </row>
    <row r="218" spans="1:28" x14ac:dyDescent="0.2">
      <c r="A218" s="3">
        <v>217</v>
      </c>
      <c r="B218" s="4" t="s">
        <v>48</v>
      </c>
      <c r="C218" s="5">
        <v>18.5</v>
      </c>
      <c r="D218" s="5">
        <v>45.039032786885251</v>
      </c>
      <c r="E218" s="5">
        <v>5.3791557377049184</v>
      </c>
      <c r="F218" s="5">
        <v>9.1172131147540997E-2</v>
      </c>
      <c r="G218" s="5">
        <v>0</v>
      </c>
      <c r="H218" s="5">
        <v>40.571598360655742</v>
      </c>
      <c r="I218" s="5">
        <v>0.32786885245901642</v>
      </c>
      <c r="J218" s="5">
        <v>8.5</v>
      </c>
      <c r="K218" s="5">
        <v>80.983606557377044</v>
      </c>
      <c r="L218" s="5">
        <v>18.688524590163937</v>
      </c>
      <c r="M218" s="5">
        <v>780</v>
      </c>
      <c r="N218" s="5">
        <v>40</v>
      </c>
      <c r="O218" s="5">
        <v>0.65</v>
      </c>
      <c r="P218" s="5">
        <v>0.17</v>
      </c>
      <c r="Q218" s="5" t="s">
        <v>29</v>
      </c>
      <c r="R218" s="5">
        <v>50.5</v>
      </c>
      <c r="S218">
        <v>35.353535353535356</v>
      </c>
      <c r="T218">
        <v>24.242424242424242</v>
      </c>
      <c r="U218">
        <v>32.323232323232325</v>
      </c>
      <c r="V218">
        <v>8.0808080808080813</v>
      </c>
      <c r="W218" s="6">
        <v>6.8756881999999999</v>
      </c>
      <c r="X218" s="6"/>
      <c r="Y218" s="5">
        <v>1.8565414295546443</v>
      </c>
      <c r="Z218" s="6"/>
      <c r="AA218" s="5">
        <v>69</v>
      </c>
      <c r="AB218" s="5">
        <v>61.911737429714549</v>
      </c>
    </row>
    <row r="219" spans="1:28" x14ac:dyDescent="0.2">
      <c r="A219" s="3">
        <v>218</v>
      </c>
      <c r="B219" s="4" t="s">
        <v>48</v>
      </c>
      <c r="C219" s="5">
        <v>18.5</v>
      </c>
      <c r="D219" s="5">
        <v>45.039032786885251</v>
      </c>
      <c r="E219" s="5">
        <v>5.3791557377049184</v>
      </c>
      <c r="F219" s="5">
        <v>9.1172131147540997E-2</v>
      </c>
      <c r="G219" s="5">
        <v>0</v>
      </c>
      <c r="H219" s="5">
        <v>40.571598360655742</v>
      </c>
      <c r="I219" s="5">
        <v>0.32786885245901642</v>
      </c>
      <c r="J219" s="5">
        <v>8.5</v>
      </c>
      <c r="K219" s="5">
        <v>80.983606557377044</v>
      </c>
      <c r="L219" s="5">
        <v>18.688524590163937</v>
      </c>
      <c r="M219" s="5">
        <v>780</v>
      </c>
      <c r="N219" s="5">
        <v>40</v>
      </c>
      <c r="O219" s="5">
        <v>0</v>
      </c>
      <c r="P219" s="5">
        <v>0.3</v>
      </c>
      <c r="Q219" s="5" t="s">
        <v>23</v>
      </c>
      <c r="R219" s="5">
        <v>53.821171216888253</v>
      </c>
      <c r="S219">
        <v>24.175824175824175</v>
      </c>
      <c r="T219">
        <v>38.46153846153846</v>
      </c>
      <c r="U219">
        <v>27.472527472527474</v>
      </c>
      <c r="V219">
        <v>9.8901098901098905</v>
      </c>
      <c r="W219" s="6">
        <v>5.8349548999999996</v>
      </c>
      <c r="X219" s="6"/>
      <c r="Y219" s="5">
        <v>1.4584517182814902</v>
      </c>
      <c r="Z219" s="6"/>
      <c r="AA219" s="5">
        <v>46</v>
      </c>
      <c r="AB219" s="5">
        <v>56.10662284063185</v>
      </c>
    </row>
    <row r="220" spans="1:28" x14ac:dyDescent="0.2">
      <c r="A220" s="3">
        <v>219</v>
      </c>
      <c r="B220" s="4" t="s">
        <v>48</v>
      </c>
      <c r="C220" s="5">
        <v>18.5</v>
      </c>
      <c r="D220" s="5">
        <v>45.039032786885251</v>
      </c>
      <c r="E220" s="5">
        <v>5.3791557377049184</v>
      </c>
      <c r="F220" s="5">
        <v>9.1172131147540997E-2</v>
      </c>
      <c r="G220" s="5">
        <v>0</v>
      </c>
      <c r="H220" s="5">
        <v>40.571598360655742</v>
      </c>
      <c r="I220" s="5">
        <v>0.32786885245901642</v>
      </c>
      <c r="J220" s="5">
        <v>8.5</v>
      </c>
      <c r="K220" s="5">
        <v>80.983606557377044</v>
      </c>
      <c r="L220" s="5">
        <v>18.688524590163937</v>
      </c>
      <c r="M220" s="5">
        <v>780</v>
      </c>
      <c r="N220" s="5">
        <v>40</v>
      </c>
      <c r="O220" s="5">
        <v>0.65</v>
      </c>
      <c r="P220" s="5">
        <v>0.28999999999999998</v>
      </c>
      <c r="Q220" s="5" t="s">
        <v>29</v>
      </c>
      <c r="R220" s="5">
        <v>51.991105720638778</v>
      </c>
      <c r="S220">
        <v>35.789473684210527</v>
      </c>
      <c r="T220">
        <v>25.263157894736842</v>
      </c>
      <c r="U220">
        <v>31.578947368421055</v>
      </c>
      <c r="V220">
        <v>7.3684210526315779</v>
      </c>
      <c r="W220" s="6">
        <v>4.5115649599999985</v>
      </c>
      <c r="X220" s="6"/>
      <c r="Y220" s="5">
        <v>2.2143092449232968</v>
      </c>
      <c r="Z220" s="6"/>
      <c r="AA220" s="5">
        <v>54</v>
      </c>
      <c r="AB220" s="5">
        <v>75.123338690221004</v>
      </c>
    </row>
    <row r="221" spans="1:28" x14ac:dyDescent="0.2">
      <c r="A221" s="3">
        <v>220</v>
      </c>
      <c r="B221" s="4" t="s">
        <v>48</v>
      </c>
      <c r="C221" s="5">
        <v>18.5</v>
      </c>
      <c r="D221" s="5">
        <v>45.039032786885251</v>
      </c>
      <c r="E221" s="5">
        <v>5.3791557377049184</v>
      </c>
      <c r="F221" s="5">
        <v>9.1172131147540997E-2</v>
      </c>
      <c r="G221" s="5">
        <v>0</v>
      </c>
      <c r="H221" s="5">
        <v>40.571598360655742</v>
      </c>
      <c r="I221" s="5">
        <v>0.32786885245901642</v>
      </c>
      <c r="J221" s="5">
        <v>8.5</v>
      </c>
      <c r="K221" s="5">
        <v>80.983606557377044</v>
      </c>
      <c r="L221" s="5">
        <v>18.688524590163937</v>
      </c>
      <c r="M221" s="5">
        <v>780</v>
      </c>
      <c r="N221" s="5">
        <v>40</v>
      </c>
      <c r="O221" s="5">
        <v>0.91</v>
      </c>
      <c r="P221" s="5">
        <v>0.28999999999999998</v>
      </c>
      <c r="Q221" s="5" t="s">
        <v>29</v>
      </c>
      <c r="R221" s="5">
        <v>50.525040387722129</v>
      </c>
      <c r="S221">
        <v>35.714285714285715</v>
      </c>
      <c r="T221">
        <v>23.469387755102041</v>
      </c>
      <c r="U221">
        <v>32.653061224489797</v>
      </c>
      <c r="V221">
        <v>8.1632653061224492</v>
      </c>
      <c r="W221" s="6">
        <v>4.733556408000001</v>
      </c>
      <c r="X221" s="6"/>
      <c r="Y221" s="5">
        <v>2.1886292476605886</v>
      </c>
      <c r="Z221" s="6"/>
      <c r="AA221" s="5">
        <v>56.000000000000007</v>
      </c>
      <c r="AB221" s="5">
        <v>76.205690633162504</v>
      </c>
    </row>
    <row r="222" spans="1:28" x14ac:dyDescent="0.2">
      <c r="A222" s="3">
        <v>221</v>
      </c>
      <c r="B222" s="4" t="s">
        <v>48</v>
      </c>
      <c r="C222" s="5">
        <v>18.5</v>
      </c>
      <c r="D222" s="5">
        <v>45.039032786885251</v>
      </c>
      <c r="E222" s="5">
        <v>5.3791557377049184</v>
      </c>
      <c r="F222" s="5">
        <v>9.1172131147540997E-2</v>
      </c>
      <c r="G222" s="5">
        <v>0</v>
      </c>
      <c r="H222" s="5">
        <v>40.571598360655742</v>
      </c>
      <c r="I222" s="5">
        <v>0.32786885245901642</v>
      </c>
      <c r="J222" s="5">
        <v>8.5</v>
      </c>
      <c r="K222" s="5">
        <v>80.983606557377044</v>
      </c>
      <c r="L222" s="5">
        <v>18.688524590163937</v>
      </c>
      <c r="M222" s="5">
        <v>780</v>
      </c>
      <c r="N222" s="5">
        <v>40</v>
      </c>
      <c r="O222" s="5">
        <v>0</v>
      </c>
      <c r="P222" s="5">
        <v>0.17</v>
      </c>
      <c r="Q222" s="5" t="s">
        <v>23</v>
      </c>
      <c r="R222" s="5">
        <v>38.698396108855569</v>
      </c>
      <c r="S222">
        <v>26.229508196721312</v>
      </c>
      <c r="T222">
        <v>38.524590163934427</v>
      </c>
      <c r="U222">
        <v>23.770491803278688</v>
      </c>
      <c r="V222">
        <v>11.475409836065573</v>
      </c>
      <c r="W222" s="6">
        <v>7.4987506464000013</v>
      </c>
      <c r="X222" s="6"/>
      <c r="Y222" s="5">
        <v>1.6282712382044302</v>
      </c>
      <c r="Z222" s="6"/>
      <c r="AA222" s="5">
        <v>66</v>
      </c>
      <c r="AB222" s="5">
        <v>76.661585557959242</v>
      </c>
    </row>
    <row r="223" spans="1:28" x14ac:dyDescent="0.2">
      <c r="A223" s="3">
        <v>222</v>
      </c>
      <c r="B223" s="4" t="s">
        <v>48</v>
      </c>
      <c r="C223" s="5">
        <v>18.5</v>
      </c>
      <c r="D223" s="5">
        <v>45.039032786885251</v>
      </c>
      <c r="E223" s="5">
        <v>5.3791557377049184</v>
      </c>
      <c r="F223" s="5">
        <v>9.1172131147540997E-2</v>
      </c>
      <c r="G223" s="5">
        <v>0</v>
      </c>
      <c r="H223" s="5">
        <v>40.571598360655742</v>
      </c>
      <c r="I223" s="5">
        <v>0.32786885245901642</v>
      </c>
      <c r="J223" s="5">
        <v>8.5</v>
      </c>
      <c r="K223" s="5">
        <v>80.983606557377044</v>
      </c>
      <c r="L223" s="5">
        <v>18.688524590163937</v>
      </c>
      <c r="M223" s="5">
        <v>780</v>
      </c>
      <c r="N223" s="5">
        <v>40</v>
      </c>
      <c r="O223" s="5">
        <v>0.65</v>
      </c>
      <c r="P223" s="5">
        <v>0.17</v>
      </c>
      <c r="Q223" s="5" t="s">
        <v>29</v>
      </c>
      <c r="R223" s="5">
        <v>42.447495961227787</v>
      </c>
      <c r="S223">
        <v>35.087719298245617</v>
      </c>
      <c r="T223">
        <v>27.192982456140356</v>
      </c>
      <c r="U223">
        <v>28.947368421052637</v>
      </c>
      <c r="V223">
        <v>8.7719298245614041</v>
      </c>
      <c r="W223" s="6">
        <v>6.5478374400000003</v>
      </c>
      <c r="X223" s="6"/>
      <c r="Y223" s="5">
        <v>1.8364841995833054</v>
      </c>
      <c r="Z223" s="6"/>
      <c r="AA223" s="5">
        <v>65</v>
      </c>
      <c r="AB223" s="5">
        <v>74.045178826695533</v>
      </c>
    </row>
    <row r="224" spans="1:28" x14ac:dyDescent="0.2">
      <c r="A224" s="3">
        <v>223</v>
      </c>
      <c r="B224" s="4" t="s">
        <v>52</v>
      </c>
      <c r="C224" s="5">
        <v>21.9</v>
      </c>
      <c r="D224" s="5">
        <v>50.955641675503706</v>
      </c>
      <c r="E224" s="5">
        <v>6.3114455991516429</v>
      </c>
      <c r="F224" s="5">
        <v>0.46407688229056199</v>
      </c>
      <c r="G224" s="5">
        <v>0</v>
      </c>
      <c r="H224" s="5">
        <v>35.084212301166481</v>
      </c>
      <c r="I224" s="5">
        <v>1.4846235418875928</v>
      </c>
      <c r="J224" s="5">
        <v>5.7</v>
      </c>
      <c r="K224" s="5">
        <v>82.608695652173921</v>
      </c>
      <c r="L224" s="5">
        <v>15.906680805938494</v>
      </c>
      <c r="M224" s="5">
        <v>780</v>
      </c>
      <c r="N224" s="5">
        <v>40</v>
      </c>
      <c r="O224" s="5">
        <v>0</v>
      </c>
      <c r="P224" s="5">
        <v>0.23</v>
      </c>
      <c r="Q224" s="5" t="s">
        <v>23</v>
      </c>
      <c r="R224" s="5">
        <v>36.536718041704439</v>
      </c>
      <c r="S224">
        <v>47.619047619047613</v>
      </c>
      <c r="T224">
        <v>21.428571428571427</v>
      </c>
      <c r="U224">
        <v>25.396825396825395</v>
      </c>
      <c r="V224">
        <v>5.5555555555555562</v>
      </c>
      <c r="W224" s="6">
        <v>6.5851996540000002</v>
      </c>
      <c r="X224" s="6"/>
      <c r="Y224" s="5">
        <v>2.6272551948354335</v>
      </c>
      <c r="Z224" s="6"/>
      <c r="AA224" s="5">
        <v>79</v>
      </c>
      <c r="AB224" s="5">
        <v>84.697549365323397</v>
      </c>
    </row>
    <row r="225" spans="1:28" x14ac:dyDescent="0.2">
      <c r="A225" s="3">
        <v>224</v>
      </c>
      <c r="B225" s="4" t="s">
        <v>52</v>
      </c>
      <c r="C225" s="5">
        <v>21.9</v>
      </c>
      <c r="D225" s="5">
        <v>50.955641675503706</v>
      </c>
      <c r="E225" s="5">
        <v>6.3114455991516429</v>
      </c>
      <c r="F225" s="5">
        <v>0.46407688229056199</v>
      </c>
      <c r="G225" s="5">
        <v>0</v>
      </c>
      <c r="H225" s="5">
        <v>35.084212301166481</v>
      </c>
      <c r="I225" s="5">
        <v>1.4846235418875928</v>
      </c>
      <c r="J225" s="5">
        <v>5.7</v>
      </c>
      <c r="K225" s="5">
        <v>82.608695652173921</v>
      </c>
      <c r="L225" s="5">
        <v>15.906680805938494</v>
      </c>
      <c r="M225" s="5">
        <v>780</v>
      </c>
      <c r="N225" s="5">
        <v>40</v>
      </c>
      <c r="O225" s="5">
        <v>0</v>
      </c>
      <c r="P225" s="5">
        <v>0.19</v>
      </c>
      <c r="Q225" s="5" t="s">
        <v>23</v>
      </c>
      <c r="R225" s="5">
        <v>46.398156497344957</v>
      </c>
      <c r="S225">
        <v>41.121495327102799</v>
      </c>
      <c r="T225">
        <v>18.691588785046729</v>
      </c>
      <c r="U225">
        <v>36.44859813084112</v>
      </c>
      <c r="V225">
        <v>3.7383177570093462</v>
      </c>
      <c r="W225" s="6">
        <v>4.3461929939999999</v>
      </c>
      <c r="X225" s="6"/>
      <c r="Y225" s="5">
        <v>2.6202241860224214</v>
      </c>
      <c r="Z225" s="6"/>
      <c r="AA225" s="5">
        <v>52</v>
      </c>
      <c r="AB225" s="5">
        <v>79.195611250583511</v>
      </c>
    </row>
    <row r="226" spans="1:28" x14ac:dyDescent="0.2">
      <c r="A226" s="3">
        <v>225</v>
      </c>
      <c r="B226" s="4" t="s">
        <v>52</v>
      </c>
      <c r="C226" s="5">
        <v>21.9</v>
      </c>
      <c r="D226" s="5">
        <v>50.955641675503706</v>
      </c>
      <c r="E226" s="5">
        <v>6.3114455991516429</v>
      </c>
      <c r="F226" s="5">
        <v>0.46407688229056199</v>
      </c>
      <c r="G226" s="5">
        <v>0</v>
      </c>
      <c r="H226" s="5">
        <v>35.084212301166481</v>
      </c>
      <c r="I226" s="5">
        <v>1.4846235418875928</v>
      </c>
      <c r="J226" s="5">
        <v>5.7</v>
      </c>
      <c r="K226" s="5">
        <v>82.608695652173921</v>
      </c>
      <c r="L226" s="5">
        <v>15.906680805938494</v>
      </c>
      <c r="M226" s="5">
        <v>780</v>
      </c>
      <c r="N226" s="5">
        <v>40</v>
      </c>
      <c r="O226" s="5">
        <v>0.6</v>
      </c>
      <c r="P226" s="5">
        <v>0.12</v>
      </c>
      <c r="Q226" s="5" t="s">
        <v>29</v>
      </c>
      <c r="R226" s="5">
        <v>32.542097788598092</v>
      </c>
      <c r="S226">
        <v>48.120300751879689</v>
      </c>
      <c r="T226">
        <v>21.052631578947366</v>
      </c>
      <c r="U226">
        <v>24.81203007518797</v>
      </c>
      <c r="V226">
        <v>6.0150375939849612</v>
      </c>
      <c r="W226" s="6">
        <v>7.4824626239999992</v>
      </c>
      <c r="X226" s="6"/>
      <c r="Y226" s="5">
        <v>2.1365960384114309</v>
      </c>
      <c r="Z226" s="6"/>
      <c r="AA226" s="5">
        <v>73</v>
      </c>
      <c r="AB226" s="5">
        <v>74.556026726150392</v>
      </c>
    </row>
    <row r="227" spans="1:28" x14ac:dyDescent="0.2">
      <c r="A227" s="3">
        <v>226</v>
      </c>
      <c r="B227" s="4" t="s">
        <v>52</v>
      </c>
      <c r="C227" s="5">
        <v>21.9</v>
      </c>
      <c r="D227" s="5">
        <v>50.955641675503706</v>
      </c>
      <c r="E227" s="5">
        <v>6.3114455991516429</v>
      </c>
      <c r="F227" s="5">
        <v>0.46407688229056199</v>
      </c>
      <c r="G227" s="5">
        <v>0</v>
      </c>
      <c r="H227" s="5">
        <v>35.084212301166481</v>
      </c>
      <c r="I227" s="5">
        <v>1.4846235418875928</v>
      </c>
      <c r="J227" s="5">
        <v>5.7</v>
      </c>
      <c r="K227" s="5">
        <v>82.608695652173921</v>
      </c>
      <c r="L227" s="5">
        <v>15.906680805938494</v>
      </c>
      <c r="M227" s="5">
        <v>780</v>
      </c>
      <c r="N227" s="5">
        <v>40</v>
      </c>
      <c r="O227" s="5">
        <v>0</v>
      </c>
      <c r="P227" s="5">
        <v>0.23</v>
      </c>
      <c r="Q227" s="5" t="s">
        <v>23</v>
      </c>
      <c r="R227" s="5">
        <v>44.5</v>
      </c>
      <c r="S227">
        <v>30.630630630630627</v>
      </c>
      <c r="T227">
        <v>28.828828828828829</v>
      </c>
      <c r="U227">
        <v>18.918918918918919</v>
      </c>
      <c r="V227">
        <v>21.621621621621621</v>
      </c>
      <c r="W227" s="6">
        <v>7.807024499999998</v>
      </c>
      <c r="X227" s="6"/>
      <c r="Y227" s="5">
        <v>2.6368560774979</v>
      </c>
      <c r="Z227" s="6"/>
      <c r="AA227" s="5">
        <v>94</v>
      </c>
      <c r="AB227" s="5">
        <v>93.179206916547557</v>
      </c>
    </row>
    <row r="228" spans="1:28" x14ac:dyDescent="0.2">
      <c r="A228" s="3">
        <v>227</v>
      </c>
      <c r="B228" s="4" t="s">
        <v>52</v>
      </c>
      <c r="C228" s="5">
        <v>21.9</v>
      </c>
      <c r="D228" s="5">
        <v>50.955641675503706</v>
      </c>
      <c r="E228" s="5">
        <v>6.3114455991516429</v>
      </c>
      <c r="F228" s="5">
        <v>0.46407688229056199</v>
      </c>
      <c r="G228" s="5">
        <v>0</v>
      </c>
      <c r="H228" s="5">
        <v>35.084212301166481</v>
      </c>
      <c r="I228" s="5">
        <v>1.4846235418875928</v>
      </c>
      <c r="J228" s="5">
        <v>5.7</v>
      </c>
      <c r="K228" s="5">
        <v>82.608695652173921</v>
      </c>
      <c r="L228" s="5">
        <v>15.906680805938494</v>
      </c>
      <c r="M228" s="5">
        <v>780</v>
      </c>
      <c r="N228" s="5">
        <v>40</v>
      </c>
      <c r="O228" s="5">
        <v>0</v>
      </c>
      <c r="P228" s="5">
        <v>0.19</v>
      </c>
      <c r="Q228" s="5" t="s">
        <v>23</v>
      </c>
      <c r="R228" s="5">
        <v>48.5</v>
      </c>
      <c r="S228">
        <v>31.067961165048541</v>
      </c>
      <c r="T228">
        <v>29.126213592233007</v>
      </c>
      <c r="U228">
        <v>22.330097087378643</v>
      </c>
      <c r="V228">
        <v>17.475728155339805</v>
      </c>
      <c r="W228" s="6">
        <v>6.6882611599999988</v>
      </c>
      <c r="X228" s="6"/>
      <c r="Y228" s="5">
        <v>1.9318922648050425</v>
      </c>
      <c r="Z228" s="6"/>
      <c r="AA228" s="5">
        <v>59</v>
      </c>
      <c r="AB228" s="5">
        <v>63.246849983081709</v>
      </c>
    </row>
    <row r="229" spans="1:28" x14ac:dyDescent="0.2">
      <c r="A229" s="3">
        <v>228</v>
      </c>
      <c r="B229" s="4" t="s">
        <v>53</v>
      </c>
      <c r="C229" s="5">
        <v>19.3</v>
      </c>
      <c r="D229" s="5">
        <v>46.859246432491766</v>
      </c>
      <c r="E229" s="5">
        <v>4.9924804610318336</v>
      </c>
      <c r="F229" s="5">
        <v>0.87587376509330406</v>
      </c>
      <c r="G229" s="5">
        <v>0</v>
      </c>
      <c r="H229" s="5">
        <v>34.859775850713497</v>
      </c>
      <c r="I229" s="5">
        <v>3.5126234906695943</v>
      </c>
      <c r="J229" s="5">
        <v>8.9</v>
      </c>
      <c r="K229" s="5">
        <v>74.862788144895731</v>
      </c>
      <c r="L229" s="5">
        <v>21.62458836443469</v>
      </c>
      <c r="M229" s="5">
        <v>780</v>
      </c>
      <c r="N229" s="5">
        <v>40</v>
      </c>
      <c r="O229" s="5">
        <v>0</v>
      </c>
      <c r="P229" s="5">
        <v>0.17</v>
      </c>
      <c r="Q229" s="5" t="s">
        <v>23</v>
      </c>
      <c r="R229" s="5">
        <v>43.531309871937083</v>
      </c>
      <c r="S229">
        <v>31.25</v>
      </c>
      <c r="T229">
        <v>33.928571428571431</v>
      </c>
      <c r="U229">
        <v>23.214285714285715</v>
      </c>
      <c r="V229">
        <v>11.607142857142858</v>
      </c>
      <c r="W229" s="6">
        <v>5.9516161099999989</v>
      </c>
      <c r="X229" s="6"/>
      <c r="Y229" s="5">
        <v>1.9781181753673294</v>
      </c>
      <c r="Z229" s="6"/>
      <c r="AA229" s="5">
        <v>61</v>
      </c>
      <c r="AB229" s="5">
        <v>75.224757429948085</v>
      </c>
    </row>
    <row r="230" spans="1:28" x14ac:dyDescent="0.2">
      <c r="A230" s="3">
        <v>229</v>
      </c>
      <c r="B230" s="4" t="s">
        <v>53</v>
      </c>
      <c r="C230" s="5">
        <v>19.3</v>
      </c>
      <c r="D230" s="5">
        <v>46.859246432491766</v>
      </c>
      <c r="E230" s="5">
        <v>4.9924804610318336</v>
      </c>
      <c r="F230" s="5">
        <v>0.87587376509330406</v>
      </c>
      <c r="G230" s="5">
        <v>0</v>
      </c>
      <c r="H230" s="5">
        <v>34.859775850713497</v>
      </c>
      <c r="I230" s="5">
        <v>3.5126234906695943</v>
      </c>
      <c r="J230" s="5">
        <v>8.9</v>
      </c>
      <c r="K230" s="5">
        <v>74.862788144895731</v>
      </c>
      <c r="L230" s="5">
        <v>21.62458836443469</v>
      </c>
      <c r="M230" s="5">
        <v>780</v>
      </c>
      <c r="N230" s="5">
        <v>40</v>
      </c>
      <c r="O230" s="5">
        <v>0.44</v>
      </c>
      <c r="P230" s="5">
        <v>0.09</v>
      </c>
      <c r="Q230" s="5" t="s">
        <v>29</v>
      </c>
      <c r="R230" s="5">
        <v>42.703579758645169</v>
      </c>
      <c r="S230">
        <v>37.16814159292035</v>
      </c>
      <c r="T230">
        <v>31.858407079646021</v>
      </c>
      <c r="U230">
        <v>22.123893805309734</v>
      </c>
      <c r="V230">
        <v>8.8495575221238951</v>
      </c>
      <c r="W230" s="6">
        <v>8.6414992949999991</v>
      </c>
      <c r="X230" s="6"/>
      <c r="Y230" s="5">
        <v>1.4740497644164887</v>
      </c>
      <c r="Z230" s="6"/>
      <c r="AA230" s="5">
        <v>66</v>
      </c>
      <c r="AB230" s="5">
        <v>53.489880949880245</v>
      </c>
    </row>
    <row r="231" spans="1:28" x14ac:dyDescent="0.2">
      <c r="A231" s="3">
        <v>230</v>
      </c>
      <c r="B231" s="4" t="s">
        <v>53</v>
      </c>
      <c r="C231" s="5">
        <v>19.3</v>
      </c>
      <c r="D231" s="5">
        <v>46.859246432491766</v>
      </c>
      <c r="E231" s="5">
        <v>4.9924804610318336</v>
      </c>
      <c r="F231" s="5">
        <v>0.87587376509330406</v>
      </c>
      <c r="G231" s="5">
        <v>0</v>
      </c>
      <c r="H231" s="5">
        <v>34.859775850713497</v>
      </c>
      <c r="I231" s="5">
        <v>3.5126234906695943</v>
      </c>
      <c r="J231" s="5">
        <v>8.9</v>
      </c>
      <c r="K231" s="5">
        <v>74.862788144895731</v>
      </c>
      <c r="L231" s="5">
        <v>21.62458836443469</v>
      </c>
      <c r="M231" s="5">
        <v>780</v>
      </c>
      <c r="N231" s="5">
        <v>40</v>
      </c>
      <c r="O231" s="5">
        <v>0</v>
      </c>
      <c r="P231" s="5">
        <v>0.17</v>
      </c>
      <c r="Q231" s="5" t="s">
        <v>23</v>
      </c>
      <c r="R231" s="5">
        <v>48.5</v>
      </c>
      <c r="S231">
        <v>31.067961165048541</v>
      </c>
      <c r="T231">
        <v>33.980582524271846</v>
      </c>
      <c r="U231">
        <v>23.300970873786408</v>
      </c>
      <c r="V231">
        <v>11.650485436893204</v>
      </c>
      <c r="W231" s="6">
        <v>6.5846507999999995</v>
      </c>
      <c r="X231" s="6"/>
      <c r="Y231" s="5">
        <v>1.7586354009843621</v>
      </c>
      <c r="Z231" s="6"/>
      <c r="AA231" s="5">
        <v>60</v>
      </c>
      <c r="AB231" s="5">
        <v>59.124664747299498</v>
      </c>
    </row>
    <row r="232" spans="1:28" x14ac:dyDescent="0.2">
      <c r="A232" s="3">
        <v>231</v>
      </c>
      <c r="B232" s="4" t="s">
        <v>53</v>
      </c>
      <c r="C232" s="5">
        <v>19.3</v>
      </c>
      <c r="D232" s="5">
        <v>46.859246432491766</v>
      </c>
      <c r="E232" s="5">
        <v>4.9924804610318336</v>
      </c>
      <c r="F232" s="5">
        <v>0.87587376509330406</v>
      </c>
      <c r="G232" s="5">
        <v>0</v>
      </c>
      <c r="H232" s="5">
        <v>34.859775850713497</v>
      </c>
      <c r="I232" s="5">
        <v>3.5126234906695943</v>
      </c>
      <c r="J232" s="5">
        <v>8.9</v>
      </c>
      <c r="K232" s="5">
        <v>74.862788144895731</v>
      </c>
      <c r="L232" s="5">
        <v>21.62458836443469</v>
      </c>
      <c r="M232" s="5">
        <v>780</v>
      </c>
      <c r="N232" s="5">
        <v>40</v>
      </c>
      <c r="O232" s="5">
        <v>0.44</v>
      </c>
      <c r="P232" s="5">
        <v>0.09</v>
      </c>
      <c r="Q232" s="5" t="s">
        <v>29</v>
      </c>
      <c r="R232" s="5">
        <v>54</v>
      </c>
      <c r="S232">
        <v>36.95652173913043</v>
      </c>
      <c r="T232">
        <v>32.608695652173914</v>
      </c>
      <c r="U232">
        <v>21.739130434782609</v>
      </c>
      <c r="V232">
        <v>8.695652173913043</v>
      </c>
      <c r="W232" s="6">
        <v>6.515301599999999</v>
      </c>
      <c r="X232" s="6"/>
      <c r="Y232" s="5">
        <v>0.94792234944273357</v>
      </c>
      <c r="Z232" s="6"/>
      <c r="AA232" s="5">
        <v>32</v>
      </c>
      <c r="AB232" s="5">
        <v>26.044957540883569</v>
      </c>
    </row>
    <row r="233" spans="1:28" x14ac:dyDescent="0.2">
      <c r="A233" s="3">
        <v>232</v>
      </c>
      <c r="B233" s="4" t="s">
        <v>54</v>
      </c>
      <c r="C233" s="5">
        <v>16.236912768253966</v>
      </c>
      <c r="D233" s="5">
        <v>43.397877563462522</v>
      </c>
      <c r="E233" s="5">
        <v>6.6918260111543484</v>
      </c>
      <c r="F233" s="5">
        <v>1.1483015048726395</v>
      </c>
      <c r="G233" s="5">
        <v>4.9495754520372401E-2</v>
      </c>
      <c r="H233" s="5">
        <v>38.675982582218985</v>
      </c>
      <c r="I233" s="5">
        <v>0.91490299823633159</v>
      </c>
      <c r="J233" s="5">
        <v>9.2799999999999994</v>
      </c>
      <c r="K233" s="5">
        <v>84.854497354497369</v>
      </c>
      <c r="L233" s="5">
        <v>14.219576719576722</v>
      </c>
      <c r="M233" s="5">
        <v>750</v>
      </c>
      <c r="N233" s="5">
        <v>80</v>
      </c>
      <c r="O233" s="5">
        <v>0</v>
      </c>
      <c r="P233" s="5">
        <v>0.2</v>
      </c>
      <c r="Q233" s="5" t="s">
        <v>23</v>
      </c>
      <c r="R233" s="5">
        <v>56.179775280898866</v>
      </c>
      <c r="S233">
        <v>15.850815850815851</v>
      </c>
      <c r="T233">
        <v>43.589743589743591</v>
      </c>
      <c r="U233">
        <v>26.573426573426573</v>
      </c>
      <c r="V233">
        <v>13.986013986013987</v>
      </c>
      <c r="W233" s="5">
        <v>6.6</v>
      </c>
      <c r="X233" s="5">
        <v>87.1</v>
      </c>
      <c r="Y233" s="5">
        <v>1.44</v>
      </c>
      <c r="Z233" s="6"/>
      <c r="AA233" s="5">
        <v>58.533294694925011</v>
      </c>
      <c r="AB233" s="5">
        <v>60.707927299270068</v>
      </c>
    </row>
    <row r="234" spans="1:28" x14ac:dyDescent="0.2">
      <c r="A234" s="3">
        <v>233</v>
      </c>
      <c r="B234" s="4" t="s">
        <v>54</v>
      </c>
      <c r="C234" s="5">
        <v>16.236912768253966</v>
      </c>
      <c r="D234" s="5">
        <v>43.397877563462522</v>
      </c>
      <c r="E234" s="5">
        <v>6.6918260111543484</v>
      </c>
      <c r="F234" s="5">
        <v>1.1483015048726395</v>
      </c>
      <c r="G234" s="5">
        <v>4.9495754520372401E-2</v>
      </c>
      <c r="H234" s="5">
        <v>38.675982582218985</v>
      </c>
      <c r="I234" s="5">
        <v>0.91490299823633159</v>
      </c>
      <c r="J234" s="5">
        <v>9.2799999999999994</v>
      </c>
      <c r="K234" s="5">
        <v>84.854497354497369</v>
      </c>
      <c r="L234" s="5">
        <v>14.219576719576722</v>
      </c>
      <c r="M234" s="5">
        <v>800</v>
      </c>
      <c r="N234" s="5">
        <v>80</v>
      </c>
      <c r="O234" s="5">
        <v>0</v>
      </c>
      <c r="P234" s="5">
        <v>0.2</v>
      </c>
      <c r="Q234" s="5" t="s">
        <v>23</v>
      </c>
      <c r="R234" s="5">
        <v>50.918367346938787</v>
      </c>
      <c r="S234">
        <v>19.334719334719335</v>
      </c>
      <c r="T234">
        <v>45.322245322245323</v>
      </c>
      <c r="U234">
        <v>22.869022869022867</v>
      </c>
      <c r="V234">
        <v>12.474012474012474</v>
      </c>
      <c r="W234" s="5">
        <v>7.06</v>
      </c>
      <c r="X234" s="5">
        <v>55.2</v>
      </c>
      <c r="Y234" s="5">
        <v>1.59</v>
      </c>
      <c r="Z234" s="6"/>
      <c r="AA234" s="5">
        <v>69.135063790868173</v>
      </c>
      <c r="AB234" s="5">
        <v>70.971515638686128</v>
      </c>
    </row>
    <row r="235" spans="1:28" x14ac:dyDescent="0.2">
      <c r="A235" s="3">
        <v>234</v>
      </c>
      <c r="B235" s="4" t="s">
        <v>54</v>
      </c>
      <c r="C235" s="5">
        <v>16.236912768253966</v>
      </c>
      <c r="D235" s="5">
        <v>43.397877563462522</v>
      </c>
      <c r="E235" s="5">
        <v>6.6918260111543484</v>
      </c>
      <c r="F235" s="5">
        <v>1.1483015048726395</v>
      </c>
      <c r="G235" s="5">
        <v>4.9495754520372401E-2</v>
      </c>
      <c r="H235" s="5">
        <v>38.675982582218985</v>
      </c>
      <c r="I235" s="5">
        <v>0.91490299823633159</v>
      </c>
      <c r="J235" s="5">
        <v>9.2799999999999994</v>
      </c>
      <c r="K235" s="5">
        <v>84.854497354497369</v>
      </c>
      <c r="L235" s="5">
        <v>14.219576719576722</v>
      </c>
      <c r="M235" s="5">
        <v>850</v>
      </c>
      <c r="N235" s="5">
        <v>80</v>
      </c>
      <c r="O235" s="5">
        <v>0</v>
      </c>
      <c r="P235" s="5">
        <v>0.2</v>
      </c>
      <c r="Q235" s="5" t="s">
        <v>23</v>
      </c>
      <c r="R235" s="5">
        <v>45.010183299389006</v>
      </c>
      <c r="S235">
        <v>24.074074074074073</v>
      </c>
      <c r="T235">
        <v>45.74074074074074</v>
      </c>
      <c r="U235">
        <v>20</v>
      </c>
      <c r="V235">
        <v>10.185185185185187</v>
      </c>
      <c r="W235" s="5">
        <v>7.45</v>
      </c>
      <c r="X235" s="5">
        <v>48.9</v>
      </c>
      <c r="Y235" s="5">
        <v>1.8</v>
      </c>
      <c r="Z235" s="6"/>
      <c r="AA235" s="5">
        <v>82.58959194643775</v>
      </c>
      <c r="AB235" s="5">
        <v>83.549186770072978</v>
      </c>
    </row>
    <row r="236" spans="1:28" x14ac:dyDescent="0.2">
      <c r="A236" s="3">
        <v>235</v>
      </c>
      <c r="B236" s="4" t="s">
        <v>54</v>
      </c>
      <c r="C236" s="5">
        <v>16.236912768253966</v>
      </c>
      <c r="D236" s="5">
        <v>43.397877563462522</v>
      </c>
      <c r="E236" s="5">
        <v>6.6918260111543484</v>
      </c>
      <c r="F236" s="5">
        <v>1.1483015048726395</v>
      </c>
      <c r="G236" s="5">
        <v>4.9495754520372401E-2</v>
      </c>
      <c r="H236" s="5">
        <v>38.675982582218985</v>
      </c>
      <c r="I236" s="5">
        <v>0.91490299823633159</v>
      </c>
      <c r="J236" s="5">
        <v>9.2799999999999994</v>
      </c>
      <c r="K236" s="5">
        <v>84.854497354497369</v>
      </c>
      <c r="L236" s="5">
        <v>14.219576719576722</v>
      </c>
      <c r="M236" s="5">
        <v>900</v>
      </c>
      <c r="N236" s="5">
        <v>80</v>
      </c>
      <c r="O236" s="5">
        <v>0</v>
      </c>
      <c r="P236" s="5">
        <v>0.2</v>
      </c>
      <c r="Q236" s="5" t="s">
        <v>23</v>
      </c>
      <c r="R236" s="5">
        <v>39.393939393939391</v>
      </c>
      <c r="S236">
        <v>26.666666666666671</v>
      </c>
      <c r="T236">
        <v>46.5</v>
      </c>
      <c r="U236">
        <v>18.333333333333336</v>
      </c>
      <c r="V236">
        <v>8.5</v>
      </c>
      <c r="W236" s="5">
        <v>7.72</v>
      </c>
      <c r="X236" s="5">
        <v>41.7</v>
      </c>
      <c r="Y236" s="5">
        <v>2.0099999999999998</v>
      </c>
      <c r="Z236" s="6"/>
      <c r="AA236" s="5">
        <v>95.567428497484244</v>
      </c>
      <c r="AB236" s="5">
        <v>96.063351758211638</v>
      </c>
    </row>
    <row r="237" spans="1:28" x14ac:dyDescent="0.2">
      <c r="A237" s="3">
        <v>236</v>
      </c>
      <c r="B237" s="4" t="s">
        <v>54</v>
      </c>
      <c r="C237" s="5">
        <v>16.236912768253966</v>
      </c>
      <c r="D237" s="5">
        <v>43.397877563462522</v>
      </c>
      <c r="E237" s="5">
        <v>6.6918260111543484</v>
      </c>
      <c r="F237" s="5">
        <v>1.1483015048726395</v>
      </c>
      <c r="G237" s="5">
        <v>4.9495754520372401E-2</v>
      </c>
      <c r="H237" s="5">
        <v>38.675982582218985</v>
      </c>
      <c r="I237" s="5">
        <v>0.91490299823633159</v>
      </c>
      <c r="J237" s="5">
        <v>9.2799999999999994</v>
      </c>
      <c r="K237" s="5">
        <v>84.854497354497369</v>
      </c>
      <c r="L237" s="5">
        <v>14.219576719576722</v>
      </c>
      <c r="M237" s="5">
        <v>950</v>
      </c>
      <c r="N237" s="5">
        <v>80</v>
      </c>
      <c r="O237" s="5">
        <v>0</v>
      </c>
      <c r="P237" s="5">
        <v>0.2</v>
      </c>
      <c r="Q237" s="5" t="s">
        <v>23</v>
      </c>
      <c r="R237" s="5">
        <v>35.276381909547744</v>
      </c>
      <c r="S237">
        <v>28.881987577639752</v>
      </c>
      <c r="T237">
        <v>48.602484472049689</v>
      </c>
      <c r="U237">
        <v>16.149068322981364</v>
      </c>
      <c r="V237">
        <v>6.366459627329192</v>
      </c>
      <c r="W237" s="5">
        <v>7.7</v>
      </c>
      <c r="X237" s="5">
        <v>38.1</v>
      </c>
      <c r="Y237" s="5">
        <v>2.0699999999999998</v>
      </c>
      <c r="Z237" s="6"/>
      <c r="AA237" s="5">
        <v>98.165212977947149</v>
      </c>
      <c r="AB237" s="5">
        <v>100.381657754562</v>
      </c>
    </row>
    <row r="238" spans="1:28" x14ac:dyDescent="0.2">
      <c r="A238" s="3">
        <v>237</v>
      </c>
      <c r="B238" s="4" t="s">
        <v>54</v>
      </c>
      <c r="C238" s="5">
        <v>16.236912768253966</v>
      </c>
      <c r="D238" s="5">
        <v>43.397877563462522</v>
      </c>
      <c r="E238" s="5">
        <v>6.6918260111543484</v>
      </c>
      <c r="F238" s="5">
        <v>1.1483015048726395</v>
      </c>
      <c r="G238" s="5">
        <v>4.9495754520372401E-2</v>
      </c>
      <c r="H238" s="5">
        <v>38.675982582218985</v>
      </c>
      <c r="I238" s="5">
        <v>0.91490299823633159</v>
      </c>
      <c r="J238" s="5">
        <v>9.2799999999999994</v>
      </c>
      <c r="K238" s="5">
        <v>84.854497354497369</v>
      </c>
      <c r="L238" s="5">
        <v>14.219576719576722</v>
      </c>
      <c r="M238" s="5">
        <v>800</v>
      </c>
      <c r="N238" s="5">
        <v>80</v>
      </c>
      <c r="O238" s="5">
        <v>0</v>
      </c>
      <c r="P238" s="5">
        <v>0.1</v>
      </c>
      <c r="Q238" s="5" t="s">
        <v>23</v>
      </c>
      <c r="R238" s="5">
        <v>53.680981595092028</v>
      </c>
      <c r="S238">
        <v>21.633554083885215</v>
      </c>
      <c r="T238">
        <v>47.240618101545259</v>
      </c>
      <c r="U238">
        <v>17.880794701986755</v>
      </c>
      <c r="V238">
        <v>13.245033112582782</v>
      </c>
      <c r="W238" s="5">
        <v>7.26</v>
      </c>
      <c r="X238" s="5">
        <v>80.400000000000006</v>
      </c>
      <c r="Y238" s="5">
        <v>1.3</v>
      </c>
      <c r="Z238" s="6"/>
      <c r="AA238" s="5">
        <v>58.126813481765815</v>
      </c>
      <c r="AB238" s="5">
        <v>53.832703467153266</v>
      </c>
    </row>
    <row r="239" spans="1:28" x14ac:dyDescent="0.2">
      <c r="A239" s="3">
        <v>238</v>
      </c>
      <c r="B239" s="4" t="s">
        <v>54</v>
      </c>
      <c r="C239" s="5">
        <v>16.236912768253966</v>
      </c>
      <c r="D239" s="5">
        <v>43.397877563462522</v>
      </c>
      <c r="E239" s="5">
        <v>6.6918260111543484</v>
      </c>
      <c r="F239" s="5">
        <v>1.1483015048726395</v>
      </c>
      <c r="G239" s="5">
        <v>4.9495754520372401E-2</v>
      </c>
      <c r="H239" s="5">
        <v>38.675982582218985</v>
      </c>
      <c r="I239" s="5">
        <v>0.91490299823633159</v>
      </c>
      <c r="J239" s="5">
        <v>9.2799999999999994</v>
      </c>
      <c r="K239" s="5">
        <v>84.854497354497369</v>
      </c>
      <c r="L239" s="5">
        <v>14.219576719576722</v>
      </c>
      <c r="M239" s="5">
        <v>800</v>
      </c>
      <c r="N239" s="5">
        <v>80</v>
      </c>
      <c r="O239" s="5">
        <v>0</v>
      </c>
      <c r="P239" s="5">
        <v>0.3</v>
      </c>
      <c r="Q239" s="5" t="s">
        <v>23</v>
      </c>
      <c r="R239" s="5">
        <v>51.573604060913716</v>
      </c>
      <c r="S239">
        <v>18.867924528301884</v>
      </c>
      <c r="T239">
        <v>42.138364779874216</v>
      </c>
      <c r="U239">
        <v>28.30188679245283</v>
      </c>
      <c r="V239">
        <v>10.691823899371068</v>
      </c>
      <c r="W239" s="5">
        <v>6.32</v>
      </c>
      <c r="X239" s="5">
        <v>43.5</v>
      </c>
      <c r="Y239" s="5">
        <v>1.89</v>
      </c>
      <c r="Z239" s="6"/>
      <c r="AA239" s="5">
        <v>73.565709014303479</v>
      </c>
      <c r="AB239" s="5">
        <v>82.681548396897796</v>
      </c>
    </row>
    <row r="240" spans="1:28" x14ac:dyDescent="0.2">
      <c r="A240" s="3">
        <v>239</v>
      </c>
      <c r="B240" s="4" t="s">
        <v>54</v>
      </c>
      <c r="C240" s="5">
        <v>16.236912768253966</v>
      </c>
      <c r="D240" s="5">
        <v>43.397877563462522</v>
      </c>
      <c r="E240" s="5">
        <v>6.6918260111543484</v>
      </c>
      <c r="F240" s="5">
        <v>1.1483015048726395</v>
      </c>
      <c r="G240" s="5">
        <v>4.9495754520372401E-2</v>
      </c>
      <c r="H240" s="5">
        <v>38.675982582218985</v>
      </c>
      <c r="I240" s="5">
        <v>0.91490299823633159</v>
      </c>
      <c r="J240" s="5">
        <v>9.2799999999999994</v>
      </c>
      <c r="K240" s="5">
        <v>84.854497354497369</v>
      </c>
      <c r="L240" s="5">
        <v>14.219576719576722</v>
      </c>
      <c r="M240" s="5">
        <v>800</v>
      </c>
      <c r="N240" s="5">
        <v>80</v>
      </c>
      <c r="O240" s="5">
        <v>0</v>
      </c>
      <c r="P240" s="5">
        <v>0.4</v>
      </c>
      <c r="Q240" s="5" t="s">
        <v>23</v>
      </c>
      <c r="R240" s="5">
        <v>52.419354838709687</v>
      </c>
      <c r="S240">
        <v>16.737288135593221</v>
      </c>
      <c r="T240">
        <v>40.042372881355924</v>
      </c>
      <c r="U240">
        <v>34.110169491525419</v>
      </c>
      <c r="V240">
        <v>9.1101694915254239</v>
      </c>
      <c r="W240" s="5">
        <v>5.37</v>
      </c>
      <c r="X240" s="5">
        <v>36.4</v>
      </c>
      <c r="Y240" s="5">
        <v>2.31</v>
      </c>
      <c r="Z240" s="6"/>
      <c r="AA240" s="5">
        <v>76.398144013271917</v>
      </c>
      <c r="AB240" s="5">
        <v>99.695332190693406</v>
      </c>
    </row>
    <row r="241" spans="1:28" x14ac:dyDescent="0.2">
      <c r="A241" s="3">
        <v>240</v>
      </c>
      <c r="B241" s="4" t="s">
        <v>54</v>
      </c>
      <c r="C241" s="5">
        <v>16.236912768253966</v>
      </c>
      <c r="D241" s="5">
        <v>43.397877563462522</v>
      </c>
      <c r="E241" s="5">
        <v>6.6918260111543484</v>
      </c>
      <c r="F241" s="5">
        <v>1.1483015048726395</v>
      </c>
      <c r="G241" s="5">
        <v>4.9495754520372401E-2</v>
      </c>
      <c r="H241" s="5">
        <v>38.675982582218985</v>
      </c>
      <c r="I241" s="5">
        <v>0.91490299823633159</v>
      </c>
      <c r="J241" s="5">
        <v>9.2799999999999994</v>
      </c>
      <c r="K241" s="5">
        <v>84.854497354497369</v>
      </c>
      <c r="L241" s="5">
        <v>14.219576719576722</v>
      </c>
      <c r="M241" s="5">
        <v>800</v>
      </c>
      <c r="N241" s="5">
        <v>80</v>
      </c>
      <c r="O241" s="5">
        <v>0</v>
      </c>
      <c r="P241" s="5">
        <v>0.5</v>
      </c>
      <c r="Q241" s="5" t="s">
        <v>23</v>
      </c>
      <c r="R241" s="5">
        <v>55.678391959798986</v>
      </c>
      <c r="S241">
        <v>14.739229024943313</v>
      </c>
      <c r="T241">
        <v>35.827664399092967</v>
      </c>
      <c r="U241">
        <v>42.403628117913833</v>
      </c>
      <c r="V241">
        <v>7.029478458049887</v>
      </c>
      <c r="W241" s="5">
        <v>4.1500000000000004</v>
      </c>
      <c r="X241" s="5">
        <v>31.9</v>
      </c>
      <c r="Y241" s="5">
        <v>2.84</v>
      </c>
      <c r="Z241" s="6"/>
      <c r="AA241" s="5">
        <v>72.587690580217398</v>
      </c>
      <c r="AB241" s="5">
        <v>116.6610709379562</v>
      </c>
    </row>
    <row r="242" spans="1:28" x14ac:dyDescent="0.2">
      <c r="A242" s="3">
        <v>241</v>
      </c>
      <c r="B242" s="4" t="s">
        <v>55</v>
      </c>
      <c r="C242" s="5">
        <v>15.834076717216769</v>
      </c>
      <c r="D242" s="5">
        <v>38.52657</v>
      </c>
      <c r="E242" s="5">
        <v>5.2300500000000003</v>
      </c>
      <c r="F242" s="5">
        <v>0.85263</v>
      </c>
      <c r="G242" s="5">
        <v>0.11427000000000001</v>
      </c>
      <c r="H242" s="5">
        <v>39.563789999999997</v>
      </c>
      <c r="I242" s="5">
        <v>5.93</v>
      </c>
      <c r="J242" s="5">
        <v>6.17</v>
      </c>
      <c r="K242" s="5">
        <v>75.95</v>
      </c>
      <c r="L242" s="5">
        <v>13.75</v>
      </c>
      <c r="M242" s="5">
        <v>900</v>
      </c>
      <c r="N242" s="5" t="s">
        <v>22</v>
      </c>
      <c r="O242" s="5">
        <v>0</v>
      </c>
      <c r="P242" s="5">
        <v>0.18</v>
      </c>
      <c r="Q242" s="5" t="s">
        <v>23</v>
      </c>
      <c r="R242" s="5">
        <v>52.781399391568897</v>
      </c>
      <c r="S242">
        <v>15.899677864703174</v>
      </c>
      <c r="T242">
        <v>26.115968706856879</v>
      </c>
      <c r="U242">
        <v>55.062126092959026</v>
      </c>
      <c r="V242">
        <v>2.9222273354809021</v>
      </c>
      <c r="W242" s="5">
        <v>2.69</v>
      </c>
      <c r="X242" s="5">
        <v>7.2149999999999999</v>
      </c>
      <c r="Y242" s="5">
        <v>1.35</v>
      </c>
      <c r="Z242" s="6"/>
      <c r="AA242" s="5">
        <v>21.17</v>
      </c>
      <c r="AB242" s="5">
        <v>61.861842549134636</v>
      </c>
    </row>
    <row r="243" spans="1:28" x14ac:dyDescent="0.2">
      <c r="A243" s="3">
        <v>242</v>
      </c>
      <c r="B243" s="4" t="s">
        <v>55</v>
      </c>
      <c r="C243" s="5">
        <v>15.834076717216769</v>
      </c>
      <c r="D243" s="5">
        <v>38.52657</v>
      </c>
      <c r="E243" s="5">
        <v>5.2300500000000003</v>
      </c>
      <c r="F243" s="5">
        <v>0.85263</v>
      </c>
      <c r="G243" s="5">
        <v>0.11427000000000001</v>
      </c>
      <c r="H243" s="5">
        <v>39.563789999999997</v>
      </c>
      <c r="I243" s="5">
        <v>5.93</v>
      </c>
      <c r="J243" s="5">
        <v>6.17</v>
      </c>
      <c r="K243" s="5">
        <v>75.95</v>
      </c>
      <c r="L243" s="5">
        <v>13.75</v>
      </c>
      <c r="M243" s="5">
        <v>950</v>
      </c>
      <c r="N243" s="5" t="s">
        <v>22</v>
      </c>
      <c r="O243" s="5">
        <v>0</v>
      </c>
      <c r="P243" s="5">
        <v>0.21</v>
      </c>
      <c r="Q243" s="5" t="s">
        <v>23</v>
      </c>
      <c r="R243" s="5">
        <v>53.762875762034888</v>
      </c>
      <c r="S243">
        <v>18.70879745396681</v>
      </c>
      <c r="T243">
        <v>30.802455103432596</v>
      </c>
      <c r="U243">
        <v>46.305978631507152</v>
      </c>
      <c r="V243">
        <v>4.1827688110934291</v>
      </c>
      <c r="W243" s="5">
        <v>3.32</v>
      </c>
      <c r="X243" s="5">
        <v>6.8520000000000003</v>
      </c>
      <c r="Y243" s="5">
        <v>1.47</v>
      </c>
      <c r="Z243" s="6"/>
      <c r="AA243" s="5">
        <v>28.46</v>
      </c>
      <c r="AB243" s="5">
        <v>65.935026694045163</v>
      </c>
    </row>
    <row r="244" spans="1:28" x14ac:dyDescent="0.2">
      <c r="A244" s="3">
        <v>243</v>
      </c>
      <c r="B244" s="4" t="s">
        <v>55</v>
      </c>
      <c r="C244" s="5">
        <v>15.834076717216769</v>
      </c>
      <c r="D244" s="5">
        <v>38.52657</v>
      </c>
      <c r="E244" s="5">
        <v>5.2300500000000003</v>
      </c>
      <c r="F244" s="5">
        <v>0.85263</v>
      </c>
      <c r="G244" s="5">
        <v>0.11427000000000001</v>
      </c>
      <c r="H244" s="5">
        <v>39.563789999999997</v>
      </c>
      <c r="I244" s="5">
        <v>5.93</v>
      </c>
      <c r="J244" s="5">
        <v>6.17</v>
      </c>
      <c r="K244" s="5">
        <v>75.95</v>
      </c>
      <c r="L244" s="5">
        <v>13.75</v>
      </c>
      <c r="M244" s="5">
        <v>965</v>
      </c>
      <c r="N244" s="5" t="s">
        <v>22</v>
      </c>
      <c r="O244" s="5">
        <v>0</v>
      </c>
      <c r="P244" s="5">
        <v>0.24</v>
      </c>
      <c r="Q244" s="5" t="s">
        <v>23</v>
      </c>
      <c r="R244" s="5">
        <v>52.819793649203639</v>
      </c>
      <c r="S244">
        <v>23.184713375796182</v>
      </c>
      <c r="T244">
        <v>35.498938428874737</v>
      </c>
      <c r="U244">
        <v>34.989384288747353</v>
      </c>
      <c r="V244">
        <v>6.3269639065817422</v>
      </c>
      <c r="W244" s="5">
        <v>4.43</v>
      </c>
      <c r="X244" s="5">
        <v>6.3209999999999997</v>
      </c>
      <c r="Y244" s="5">
        <v>1.62</v>
      </c>
      <c r="Z244" s="6"/>
      <c r="AA244" s="5">
        <v>41.85</v>
      </c>
      <c r="AB244" s="5">
        <v>73.26045673217952</v>
      </c>
    </row>
    <row r="245" spans="1:28" x14ac:dyDescent="0.2">
      <c r="A245" s="3">
        <v>244</v>
      </c>
      <c r="B245" s="4" t="s">
        <v>55</v>
      </c>
      <c r="C245" s="5">
        <v>15.834076717216769</v>
      </c>
      <c r="D245" s="5">
        <v>38.52657</v>
      </c>
      <c r="E245" s="5">
        <v>5.2300500000000003</v>
      </c>
      <c r="F245" s="5">
        <v>0.85263</v>
      </c>
      <c r="G245" s="5">
        <v>0.11427000000000001</v>
      </c>
      <c r="H245" s="5">
        <v>39.563789999999997</v>
      </c>
      <c r="I245" s="5">
        <v>5.93</v>
      </c>
      <c r="J245" s="5">
        <v>6.17</v>
      </c>
      <c r="K245" s="5">
        <v>75.95</v>
      </c>
      <c r="L245" s="5">
        <v>13.75</v>
      </c>
      <c r="M245" s="5">
        <v>975</v>
      </c>
      <c r="N245" s="5" t="s">
        <v>22</v>
      </c>
      <c r="O245" s="5">
        <v>0</v>
      </c>
      <c r="P245" s="5">
        <v>0.28000000000000003</v>
      </c>
      <c r="Q245" s="5" t="s">
        <v>23</v>
      </c>
      <c r="R245" s="5">
        <v>52.272060979184999</v>
      </c>
      <c r="S245">
        <v>26.167076167076164</v>
      </c>
      <c r="T245">
        <v>38.882063882063875</v>
      </c>
      <c r="U245">
        <v>26.842751842751845</v>
      </c>
      <c r="V245">
        <v>8.1081081081081088</v>
      </c>
      <c r="W245" s="5">
        <v>5.3</v>
      </c>
      <c r="X245" s="5">
        <v>5.6859999999999999</v>
      </c>
      <c r="Y245" s="5">
        <v>1.81</v>
      </c>
      <c r="Z245" s="6"/>
      <c r="AA245" s="5">
        <v>55.94</v>
      </c>
      <c r="AB245" s="5">
        <v>82.916671653466295</v>
      </c>
    </row>
    <row r="246" spans="1:28" x14ac:dyDescent="0.2">
      <c r="A246" s="3">
        <v>245</v>
      </c>
      <c r="B246" s="4" t="s">
        <v>55</v>
      </c>
      <c r="C246" s="5">
        <v>15.834076717216769</v>
      </c>
      <c r="D246" s="5">
        <v>38.52657</v>
      </c>
      <c r="E246" s="5">
        <v>5.2300500000000003</v>
      </c>
      <c r="F246" s="5">
        <v>0.85263</v>
      </c>
      <c r="G246" s="5">
        <v>0.11427000000000001</v>
      </c>
      <c r="H246" s="5">
        <v>39.563789999999997</v>
      </c>
      <c r="I246" s="5">
        <v>5.93</v>
      </c>
      <c r="J246" s="5">
        <v>6.17</v>
      </c>
      <c r="K246" s="5">
        <v>75.95</v>
      </c>
      <c r="L246" s="5">
        <v>13.75</v>
      </c>
      <c r="M246" s="5">
        <v>985</v>
      </c>
      <c r="N246" s="5" t="s">
        <v>22</v>
      </c>
      <c r="O246" s="5">
        <v>0</v>
      </c>
      <c r="P246" s="5">
        <v>0.32</v>
      </c>
      <c r="Q246" s="5" t="s">
        <v>23</v>
      </c>
      <c r="R246" s="5">
        <v>53.379998082270589</v>
      </c>
      <c r="S246">
        <v>27.786918963389549</v>
      </c>
      <c r="T246">
        <v>40.744549568078973</v>
      </c>
      <c r="U246">
        <v>23.817359111476762</v>
      </c>
      <c r="V246">
        <v>7.651172357054711</v>
      </c>
      <c r="W246" s="5">
        <v>5.39</v>
      </c>
      <c r="X246" s="5">
        <v>5.125</v>
      </c>
      <c r="Y246" s="5">
        <v>2.14</v>
      </c>
      <c r="Z246" s="6"/>
      <c r="AA246" s="5">
        <v>67.260000000000005</v>
      </c>
      <c r="AB246" s="5">
        <v>94.736839542387784</v>
      </c>
    </row>
    <row r="247" spans="1:28" x14ac:dyDescent="0.2">
      <c r="A247" s="3">
        <v>246</v>
      </c>
      <c r="B247" s="4" t="s">
        <v>55</v>
      </c>
      <c r="C247" s="5">
        <v>15.834076717216769</v>
      </c>
      <c r="D247" s="5">
        <v>38.52657</v>
      </c>
      <c r="E247" s="5">
        <v>5.2300500000000003</v>
      </c>
      <c r="F247" s="5">
        <v>0.85263</v>
      </c>
      <c r="G247" s="5">
        <v>0.11427000000000001</v>
      </c>
      <c r="H247" s="5">
        <v>39.563789999999997</v>
      </c>
      <c r="I247" s="5">
        <v>5.93</v>
      </c>
      <c r="J247" s="5">
        <v>6.17</v>
      </c>
      <c r="K247" s="5">
        <v>75.95</v>
      </c>
      <c r="L247" s="5">
        <v>13.75</v>
      </c>
      <c r="M247" s="5">
        <v>995</v>
      </c>
      <c r="N247" s="5" t="s">
        <v>22</v>
      </c>
      <c r="O247" s="5">
        <v>0</v>
      </c>
      <c r="P247" s="5">
        <v>0.36</v>
      </c>
      <c r="Q247" s="5" t="s">
        <v>23</v>
      </c>
      <c r="R247" s="5">
        <v>54.388984509466432</v>
      </c>
      <c r="S247">
        <v>25.702306079664574</v>
      </c>
      <c r="T247">
        <v>37.672955974842772</v>
      </c>
      <c r="U247">
        <v>28.972746331236905</v>
      </c>
      <c r="V247">
        <v>7.6519916142557651</v>
      </c>
      <c r="W247" s="5">
        <v>4.99</v>
      </c>
      <c r="X247" s="5">
        <v>4.8730000000000002</v>
      </c>
      <c r="Y247" s="5">
        <v>2.5299999999999998</v>
      </c>
      <c r="Z247" s="6"/>
      <c r="AA247" s="5">
        <v>73.61</v>
      </c>
      <c r="AB247" s="5">
        <v>113.12884362471885</v>
      </c>
    </row>
    <row r="248" spans="1:28" x14ac:dyDescent="0.2">
      <c r="A248" s="3">
        <v>247</v>
      </c>
      <c r="B248" s="4" t="s">
        <v>55</v>
      </c>
      <c r="C248" s="5">
        <v>15.834076717216769</v>
      </c>
      <c r="D248" s="5">
        <v>38.52657</v>
      </c>
      <c r="E248" s="5">
        <v>5.2300500000000003</v>
      </c>
      <c r="F248" s="5">
        <v>0.85263</v>
      </c>
      <c r="G248" s="5">
        <v>0.11427000000000001</v>
      </c>
      <c r="H248" s="5">
        <v>39.563789999999997</v>
      </c>
      <c r="I248" s="5">
        <v>5.93</v>
      </c>
      <c r="J248" s="5">
        <v>6.17</v>
      </c>
      <c r="K248" s="5">
        <v>75.95</v>
      </c>
      <c r="L248" s="5">
        <v>13.75</v>
      </c>
      <c r="M248" s="5">
        <v>1025</v>
      </c>
      <c r="N248" s="5" t="s">
        <v>22</v>
      </c>
      <c r="O248" s="5">
        <v>0</v>
      </c>
      <c r="P248" s="5">
        <v>0.41</v>
      </c>
      <c r="Q248" s="5" t="s">
        <v>23</v>
      </c>
      <c r="R248" s="5">
        <v>56.634733946694496</v>
      </c>
      <c r="S248">
        <v>23.1408573928259</v>
      </c>
      <c r="T248">
        <v>33.1583552055993</v>
      </c>
      <c r="U248">
        <v>40.266841644794397</v>
      </c>
      <c r="V248">
        <v>3.4339457567804024</v>
      </c>
      <c r="W248" s="5">
        <v>3.69</v>
      </c>
      <c r="X248" s="5">
        <v>4.617</v>
      </c>
      <c r="Y248" s="5">
        <v>2.86</v>
      </c>
      <c r="Z248" s="6"/>
      <c r="AA248" s="5">
        <v>61.54</v>
      </c>
      <c r="AB248" s="5">
        <v>126.89402899188418</v>
      </c>
    </row>
    <row r="249" spans="1:28" x14ac:dyDescent="0.2">
      <c r="A249" s="3">
        <v>248</v>
      </c>
      <c r="B249" s="4" t="s">
        <v>54</v>
      </c>
      <c r="C249" s="5">
        <v>14.636107760353841</v>
      </c>
      <c r="D249" s="5">
        <v>37.825000000000003</v>
      </c>
      <c r="E249" s="5">
        <v>4.3120500000000002</v>
      </c>
      <c r="F249" s="5">
        <v>0.15130000000000002</v>
      </c>
      <c r="G249" s="5">
        <v>2.2695E-2</v>
      </c>
      <c r="H249" s="5">
        <v>33.361650000000004</v>
      </c>
      <c r="I249" s="5">
        <v>0.85</v>
      </c>
      <c r="J249" s="5">
        <v>23.5</v>
      </c>
      <c r="K249" s="5">
        <v>82</v>
      </c>
      <c r="L249" s="5">
        <v>16.5</v>
      </c>
      <c r="M249" s="5">
        <v>800</v>
      </c>
      <c r="N249" s="5">
        <v>300</v>
      </c>
      <c r="O249" s="5">
        <v>0</v>
      </c>
      <c r="P249" s="5">
        <v>0.32</v>
      </c>
      <c r="Q249" s="5" t="s">
        <v>23</v>
      </c>
      <c r="R249" s="5">
        <v>62.044534412955464</v>
      </c>
      <c r="S249">
        <v>18.666666666666664</v>
      </c>
      <c r="T249">
        <v>37.333333333333329</v>
      </c>
      <c r="U249">
        <v>36.000000000000007</v>
      </c>
      <c r="V249">
        <v>8</v>
      </c>
      <c r="W249" s="5">
        <v>4.3</v>
      </c>
      <c r="X249" s="5">
        <v>3.7330000000000001</v>
      </c>
      <c r="Y249" s="5">
        <v>1.8496180136710898</v>
      </c>
      <c r="Z249" s="6"/>
      <c r="AA249" s="5">
        <v>54.340659340659336</v>
      </c>
      <c r="AB249" s="5">
        <v>62.228416336377734</v>
      </c>
    </row>
    <row r="250" spans="1:28" x14ac:dyDescent="0.2">
      <c r="A250" s="3">
        <v>249</v>
      </c>
      <c r="B250" s="4" t="s">
        <v>54</v>
      </c>
      <c r="C250" s="5">
        <v>14.936397209684039</v>
      </c>
      <c r="D250" s="5">
        <v>39.075000000000003</v>
      </c>
      <c r="E250" s="5">
        <v>4.4545500000000002</v>
      </c>
      <c r="F250" s="5">
        <v>0.15630000000000002</v>
      </c>
      <c r="G250" s="5">
        <v>2.3445000000000001E-2</v>
      </c>
      <c r="H250" s="5">
        <v>34.464150000000004</v>
      </c>
      <c r="I250" s="5">
        <v>0.85</v>
      </c>
      <c r="J250" s="5">
        <v>21</v>
      </c>
      <c r="K250" s="5">
        <v>82</v>
      </c>
      <c r="L250" s="5">
        <v>16.5</v>
      </c>
      <c r="M250" s="5">
        <v>800</v>
      </c>
      <c r="N250" s="5">
        <v>300</v>
      </c>
      <c r="O250" s="5">
        <v>0</v>
      </c>
      <c r="P250" s="5">
        <v>0.37</v>
      </c>
      <c r="Q250" s="5" t="s">
        <v>23</v>
      </c>
      <c r="R250" s="5">
        <v>59.187817258883243</v>
      </c>
      <c r="S250">
        <v>23.631840796019901</v>
      </c>
      <c r="T250">
        <v>32.338308457711449</v>
      </c>
      <c r="U250">
        <v>37.313432835820905</v>
      </c>
      <c r="V250">
        <v>6.7164179104477624</v>
      </c>
      <c r="W250" s="5">
        <v>4.5999999999999996</v>
      </c>
      <c r="X250" s="5">
        <v>7.1630000000000003</v>
      </c>
      <c r="Y250" s="5">
        <v>2.0661157024793391</v>
      </c>
      <c r="Z250" s="6"/>
      <c r="AA250" s="5">
        <v>63.630687494323858</v>
      </c>
      <c r="AB250" s="5">
        <v>71.901402007083831</v>
      </c>
    </row>
    <row r="251" spans="1:28" x14ac:dyDescent="0.2">
      <c r="A251" s="3">
        <v>250</v>
      </c>
      <c r="B251" s="4" t="s">
        <v>54</v>
      </c>
      <c r="C251" s="5">
        <v>14.695195801372627</v>
      </c>
      <c r="D251" s="5">
        <v>38.075000000000003</v>
      </c>
      <c r="E251" s="5">
        <v>4.3405500000000004</v>
      </c>
      <c r="F251" s="5">
        <v>0.15230000000000002</v>
      </c>
      <c r="G251" s="5">
        <v>2.2845000000000001E-2</v>
      </c>
      <c r="H251" s="5">
        <v>33.582150000000006</v>
      </c>
      <c r="I251" s="5">
        <v>0.85</v>
      </c>
      <c r="J251" s="5">
        <v>23</v>
      </c>
      <c r="K251" s="5">
        <v>82</v>
      </c>
      <c r="L251" s="5">
        <v>16.5</v>
      </c>
      <c r="M251" s="5">
        <v>810</v>
      </c>
      <c r="N251" s="5">
        <v>162</v>
      </c>
      <c r="O251" s="5">
        <v>0</v>
      </c>
      <c r="P251" s="5">
        <v>0.47</v>
      </c>
      <c r="Q251" s="5" t="s">
        <v>23</v>
      </c>
      <c r="R251" s="5">
        <v>67.23963599595551</v>
      </c>
      <c r="S251">
        <v>24.691358024691365</v>
      </c>
      <c r="T251">
        <v>30.864197530864203</v>
      </c>
      <c r="U251">
        <v>37.037037037037038</v>
      </c>
      <c r="V251">
        <v>7.4074074074074066</v>
      </c>
      <c r="W251" s="5">
        <v>3.7</v>
      </c>
      <c r="X251" s="5">
        <v>2.9870000000000001</v>
      </c>
      <c r="Y251" s="5">
        <v>2.0325203252032518</v>
      </c>
      <c r="Z251" s="6"/>
      <c r="AA251" s="5">
        <v>51.175399803448585</v>
      </c>
      <c r="AB251" s="5">
        <v>55.532055749128901</v>
      </c>
    </row>
    <row r="252" spans="1:28" x14ac:dyDescent="0.2">
      <c r="A252" s="3">
        <v>251</v>
      </c>
      <c r="B252" s="4" t="s">
        <v>54</v>
      </c>
      <c r="C252" s="5">
        <v>14.814814814814815</v>
      </c>
      <c r="D252" s="5">
        <v>38.575000000000003</v>
      </c>
      <c r="E252" s="5">
        <v>4.3975500000000007</v>
      </c>
      <c r="F252" s="5">
        <v>0.15430000000000002</v>
      </c>
      <c r="G252" s="5">
        <v>2.3145000000000002E-2</v>
      </c>
      <c r="H252" s="5">
        <v>34.023150000000001</v>
      </c>
      <c r="I252" s="5">
        <v>0.85</v>
      </c>
      <c r="J252" s="5">
        <v>22</v>
      </c>
      <c r="K252" s="5">
        <v>82</v>
      </c>
      <c r="L252" s="5">
        <v>16.5</v>
      </c>
      <c r="M252" s="5">
        <v>800</v>
      </c>
      <c r="N252" s="5">
        <v>240</v>
      </c>
      <c r="O252" s="5">
        <v>0</v>
      </c>
      <c r="P252" s="5">
        <v>0.26</v>
      </c>
      <c r="Q252" s="5" t="s">
        <v>23</v>
      </c>
      <c r="R252" s="5">
        <v>59.187817258883243</v>
      </c>
      <c r="S252">
        <v>23.631840796019901</v>
      </c>
      <c r="T252">
        <v>32.338308457711449</v>
      </c>
      <c r="U252">
        <v>37.313432835820905</v>
      </c>
      <c r="V252">
        <v>6.7164179104477624</v>
      </c>
      <c r="W252" s="5">
        <v>4.5999999999999996</v>
      </c>
      <c r="X252" s="5">
        <v>2.0110000000000001</v>
      </c>
      <c r="Y252" s="5">
        <v>1.7213114754098362</v>
      </c>
      <c r="Z252" s="6"/>
      <c r="AA252" s="5">
        <v>53.446721311475414</v>
      </c>
      <c r="AB252" s="5">
        <v>59.902118852459019</v>
      </c>
    </row>
    <row r="253" spans="1:28" x14ac:dyDescent="0.2">
      <c r="A253" s="3">
        <v>252</v>
      </c>
      <c r="B253" s="4" t="s">
        <v>54</v>
      </c>
      <c r="C253" s="5">
        <v>14.461660707191101</v>
      </c>
      <c r="D253" s="5">
        <v>37.075000000000003</v>
      </c>
      <c r="E253" s="5">
        <v>4.2265500000000005</v>
      </c>
      <c r="F253" s="5">
        <v>0.14830000000000002</v>
      </c>
      <c r="G253" s="5">
        <v>2.2245000000000001E-2</v>
      </c>
      <c r="H253" s="5">
        <v>32.700150000000001</v>
      </c>
      <c r="I253" s="5">
        <v>0.85</v>
      </c>
      <c r="J253" s="5">
        <v>25</v>
      </c>
      <c r="K253" s="5">
        <v>82</v>
      </c>
      <c r="L253" s="5">
        <v>16.5</v>
      </c>
      <c r="M253" s="5">
        <v>790</v>
      </c>
      <c r="N253" s="5">
        <v>300</v>
      </c>
      <c r="O253" s="5">
        <v>0</v>
      </c>
      <c r="P253" s="5">
        <v>0.36</v>
      </c>
      <c r="Q253" s="5" t="s">
        <v>23</v>
      </c>
      <c r="R253" s="5">
        <v>59.187817258883243</v>
      </c>
      <c r="S253">
        <v>23.631840796019901</v>
      </c>
      <c r="T253">
        <v>32.338308457711449</v>
      </c>
      <c r="U253">
        <v>37.313432835820905</v>
      </c>
      <c r="V253">
        <v>6.7164179104477624</v>
      </c>
      <c r="W253" s="5">
        <v>4.5999999999999996</v>
      </c>
      <c r="X253" s="5">
        <v>2.0110000000000001</v>
      </c>
      <c r="Y253" s="5">
        <v>1.92</v>
      </c>
      <c r="Z253" s="6"/>
      <c r="AA253" s="5">
        <v>61.071824175824169</v>
      </c>
      <c r="AB253" s="5">
        <v>66.816534857142855</v>
      </c>
    </row>
    <row r="254" spans="1:28" x14ac:dyDescent="0.2">
      <c r="A254" s="3">
        <v>253</v>
      </c>
      <c r="B254" s="4" t="s">
        <v>54</v>
      </c>
      <c r="C254" s="5">
        <v>15.185648727576137</v>
      </c>
      <c r="D254" s="5">
        <v>40.075000000000003</v>
      </c>
      <c r="E254" s="5">
        <v>4.568550000000001</v>
      </c>
      <c r="F254" s="5">
        <v>0.16030000000000003</v>
      </c>
      <c r="G254" s="5">
        <v>2.4045000000000004E-2</v>
      </c>
      <c r="H254" s="5">
        <v>35.346150000000009</v>
      </c>
      <c r="I254" s="5">
        <v>0.85</v>
      </c>
      <c r="J254" s="5">
        <v>19</v>
      </c>
      <c r="K254" s="5">
        <v>82</v>
      </c>
      <c r="L254" s="5">
        <v>16.5</v>
      </c>
      <c r="M254" s="5">
        <v>800</v>
      </c>
      <c r="N254" s="5">
        <v>312</v>
      </c>
      <c r="O254" s="5">
        <v>0</v>
      </c>
      <c r="P254" s="5">
        <v>0.32</v>
      </c>
      <c r="Q254" s="5" t="s">
        <v>23</v>
      </c>
      <c r="R254" s="5">
        <v>49.723756906077348</v>
      </c>
      <c r="S254">
        <v>20.879120879120876</v>
      </c>
      <c r="T254">
        <v>39.560439560439562</v>
      </c>
      <c r="U254">
        <v>29.670329670329672</v>
      </c>
      <c r="V254">
        <v>9.8901098901098905</v>
      </c>
      <c r="W254" s="5">
        <v>6.3</v>
      </c>
      <c r="X254" s="5">
        <v>9.9809999999999999</v>
      </c>
      <c r="Y254" s="5">
        <v>1.7647058823529413</v>
      </c>
      <c r="Z254" s="6"/>
      <c r="AA254" s="5">
        <v>73.211538461538481</v>
      </c>
      <c r="AB254" s="5">
        <v>72.804516806722702</v>
      </c>
    </row>
    <row r="255" spans="1:28" x14ac:dyDescent="0.2">
      <c r="A255" s="3">
        <v>254</v>
      </c>
      <c r="B255" s="4" t="s">
        <v>56</v>
      </c>
      <c r="C255" s="5">
        <v>17.421651104742534</v>
      </c>
      <c r="D255" s="5">
        <v>45.374041922290388</v>
      </c>
      <c r="E255" s="5">
        <v>5.4437852760736201</v>
      </c>
      <c r="F255" s="5">
        <v>0.27493865030674847</v>
      </c>
      <c r="G255" s="5">
        <v>0.14663394683026584</v>
      </c>
      <c r="H255" s="5">
        <v>38.390600204498973</v>
      </c>
      <c r="I255" s="5">
        <v>2.2000000000000002</v>
      </c>
      <c r="J255" s="5">
        <v>8.17</v>
      </c>
      <c r="K255" s="5">
        <v>86.27</v>
      </c>
      <c r="L255" s="5">
        <v>11.53</v>
      </c>
      <c r="M255" s="5">
        <v>790</v>
      </c>
      <c r="N255" s="5">
        <v>16.3</v>
      </c>
      <c r="O255" s="5">
        <v>0</v>
      </c>
      <c r="P255" s="5">
        <v>0.57999999999999996</v>
      </c>
      <c r="Q255" s="5" t="s">
        <v>23</v>
      </c>
      <c r="R255" s="5">
        <v>51.845536609829487</v>
      </c>
      <c r="S255">
        <v>33.326390335346808</v>
      </c>
      <c r="T255">
        <v>33.326390335346808</v>
      </c>
      <c r="U255">
        <v>29.681316392418246</v>
      </c>
      <c r="V255">
        <v>3.6659029368881493</v>
      </c>
      <c r="W255" s="5">
        <v>4.6500000000000004</v>
      </c>
      <c r="X255" s="5">
        <v>0.55000000000000004</v>
      </c>
      <c r="Y255" s="5">
        <v>2.2999999999999998</v>
      </c>
      <c r="Z255" s="6"/>
      <c r="AA255" s="5">
        <v>61.389129742637309</v>
      </c>
      <c r="AB255" s="5">
        <v>75.795427241827028</v>
      </c>
    </row>
    <row r="256" spans="1:28" x14ac:dyDescent="0.2">
      <c r="A256" s="3">
        <v>255</v>
      </c>
      <c r="B256" s="4" t="s">
        <v>56</v>
      </c>
      <c r="C256" s="5">
        <v>17.421651104742534</v>
      </c>
      <c r="D256" s="5">
        <v>45.374041922290388</v>
      </c>
      <c r="E256" s="5">
        <v>5.4437852760736201</v>
      </c>
      <c r="F256" s="5">
        <v>0.27493865030674847</v>
      </c>
      <c r="G256" s="5">
        <v>0.14663394683026584</v>
      </c>
      <c r="H256" s="5">
        <v>38.390600204498973</v>
      </c>
      <c r="I256" s="5">
        <v>2.2000000000000002</v>
      </c>
      <c r="J256" s="5">
        <v>8.17</v>
      </c>
      <c r="K256" s="5">
        <v>86.27</v>
      </c>
      <c r="L256" s="5">
        <v>11.53</v>
      </c>
      <c r="M256" s="5">
        <v>820</v>
      </c>
      <c r="N256" s="5">
        <v>18.600000000000001</v>
      </c>
      <c r="O256" s="5">
        <v>0</v>
      </c>
      <c r="P256" s="5">
        <v>0.67</v>
      </c>
      <c r="Q256" s="5" t="s">
        <v>23</v>
      </c>
      <c r="R256" s="5">
        <v>51.997196916608267</v>
      </c>
      <c r="S256">
        <v>31.282586027111581</v>
      </c>
      <c r="T256">
        <v>42.752867570385817</v>
      </c>
      <c r="U256">
        <v>23.983315954118879</v>
      </c>
      <c r="V256">
        <v>1.9812304483837331</v>
      </c>
      <c r="W256" s="5">
        <v>4.7</v>
      </c>
      <c r="X256" s="5">
        <v>7.4999999999999997E-2</v>
      </c>
      <c r="Y256" s="5">
        <v>2.6</v>
      </c>
      <c r="Z256" s="6"/>
      <c r="AA256" s="5">
        <v>70.142605465640756</v>
      </c>
      <c r="AB256" s="5">
        <v>86.309770578815233</v>
      </c>
    </row>
    <row r="257" spans="1:28" x14ac:dyDescent="0.2">
      <c r="A257" s="3">
        <v>256</v>
      </c>
      <c r="B257" s="4" t="s">
        <v>56</v>
      </c>
      <c r="C257" s="5">
        <v>17.421651104742534</v>
      </c>
      <c r="D257" s="5">
        <v>45.374041922290388</v>
      </c>
      <c r="E257" s="5">
        <v>5.4437852760736201</v>
      </c>
      <c r="F257" s="5">
        <v>0.27493865030674847</v>
      </c>
      <c r="G257" s="5">
        <v>0.14663394683026584</v>
      </c>
      <c r="H257" s="5">
        <v>38.390600204498973</v>
      </c>
      <c r="I257" s="5">
        <v>2.2000000000000002</v>
      </c>
      <c r="J257" s="5">
        <v>8.17</v>
      </c>
      <c r="K257" s="5">
        <v>86.27</v>
      </c>
      <c r="L257" s="5">
        <v>11.53</v>
      </c>
      <c r="M257" s="5">
        <v>930</v>
      </c>
      <c r="N257" s="5">
        <v>20.3</v>
      </c>
      <c r="O257" s="5">
        <v>0</v>
      </c>
      <c r="P257" s="5">
        <v>0.73</v>
      </c>
      <c r="Q257" s="5" t="s">
        <v>23</v>
      </c>
      <c r="R257" s="5">
        <v>53.106553276638316</v>
      </c>
      <c r="S257">
        <v>29.336462556005976</v>
      </c>
      <c r="T257">
        <v>43.737998719863455</v>
      </c>
      <c r="U257">
        <v>25.602730957968848</v>
      </c>
      <c r="V257">
        <v>1.3228077661617239</v>
      </c>
      <c r="W257" s="5">
        <v>4.3</v>
      </c>
      <c r="X257" s="5">
        <v>7.4999999999999997E-2</v>
      </c>
      <c r="Y257" s="5">
        <v>2.75</v>
      </c>
      <c r="Z257" s="6"/>
      <c r="AA257" s="5">
        <v>67.875311753780849</v>
      </c>
      <c r="AB257" s="5">
        <v>91.542902698589003</v>
      </c>
    </row>
    <row r="258" spans="1:28" x14ac:dyDescent="0.2">
      <c r="A258" s="3">
        <v>257</v>
      </c>
      <c r="B258" s="4" t="s">
        <v>56</v>
      </c>
      <c r="C258" s="5">
        <v>17.421651104742534</v>
      </c>
      <c r="D258" s="5">
        <v>45.374041922290388</v>
      </c>
      <c r="E258" s="5">
        <v>5.4437852760736201</v>
      </c>
      <c r="F258" s="5">
        <v>0.27493865030674847</v>
      </c>
      <c r="G258" s="5">
        <v>0.14663394683026584</v>
      </c>
      <c r="H258" s="5">
        <v>38.390600204498973</v>
      </c>
      <c r="I258" s="5">
        <v>2.2000000000000002</v>
      </c>
      <c r="J258" s="5">
        <v>8.17</v>
      </c>
      <c r="K258" s="5">
        <v>86.27</v>
      </c>
      <c r="L258" s="5">
        <v>11.53</v>
      </c>
      <c r="M258" s="5">
        <v>1030</v>
      </c>
      <c r="N258" s="5">
        <v>21.7</v>
      </c>
      <c r="O258" s="5">
        <v>0</v>
      </c>
      <c r="P258" s="5">
        <v>0.77</v>
      </c>
      <c r="Q258" s="5" t="s">
        <v>23</v>
      </c>
      <c r="R258" s="5">
        <v>55.736721016304891</v>
      </c>
      <c r="S258">
        <v>27.118644067796616</v>
      </c>
      <c r="T258">
        <v>53.672316384180796</v>
      </c>
      <c r="U258">
        <v>18.644067796610173</v>
      </c>
      <c r="V258">
        <v>0.5649717514124295</v>
      </c>
      <c r="W258" s="5">
        <v>4.4000000000000004</v>
      </c>
      <c r="X258" s="5">
        <v>0.02</v>
      </c>
      <c r="Y258" s="5">
        <v>3</v>
      </c>
      <c r="Z258" s="6"/>
      <c r="AA258" s="5">
        <v>75.767789864685597</v>
      </c>
      <c r="AB258" s="5">
        <v>96.074139849092504</v>
      </c>
    </row>
    <row r="259" spans="1:28" x14ac:dyDescent="0.2">
      <c r="A259" s="3">
        <v>258</v>
      </c>
      <c r="B259" s="4" t="s">
        <v>56</v>
      </c>
      <c r="C259" s="5">
        <v>17.421651104742534</v>
      </c>
      <c r="D259" s="5">
        <v>45.374041922290388</v>
      </c>
      <c r="E259" s="5">
        <v>5.4437852760736201</v>
      </c>
      <c r="F259" s="5">
        <v>0.27493865030674847</v>
      </c>
      <c r="G259" s="5">
        <v>0.14663394683026584</v>
      </c>
      <c r="H259" s="5">
        <v>38.390600204498973</v>
      </c>
      <c r="I259" s="5">
        <v>2.2000000000000002</v>
      </c>
      <c r="J259" s="5">
        <v>8.17</v>
      </c>
      <c r="K259" s="5">
        <v>86.27</v>
      </c>
      <c r="L259" s="5">
        <v>11.53</v>
      </c>
      <c r="M259" s="5">
        <v>1000</v>
      </c>
      <c r="N259" s="5">
        <v>24.8</v>
      </c>
      <c r="O259" s="5">
        <v>0</v>
      </c>
      <c r="P259" s="5">
        <v>0.87</v>
      </c>
      <c r="Q259" s="5" t="s">
        <v>23</v>
      </c>
      <c r="R259" s="5">
        <v>56.323794276565941</v>
      </c>
      <c r="S259">
        <v>27.491408934707902</v>
      </c>
      <c r="T259">
        <v>49.255441008018323</v>
      </c>
      <c r="U259">
        <v>22.336769759450167</v>
      </c>
      <c r="V259">
        <v>0.91638029782359687</v>
      </c>
      <c r="W259" s="5">
        <v>4.3499999999999996</v>
      </c>
      <c r="X259" s="5">
        <v>0.03</v>
      </c>
      <c r="Y259" s="5">
        <v>3.4</v>
      </c>
      <c r="Z259" s="6"/>
      <c r="AA259" s="5">
        <v>84.894364552931819</v>
      </c>
      <c r="AB259" s="5">
        <v>107.64132077213836</v>
      </c>
    </row>
    <row r="260" spans="1:28" x14ac:dyDescent="0.2">
      <c r="A260" s="3">
        <v>259</v>
      </c>
      <c r="B260" s="4" t="s">
        <v>48</v>
      </c>
      <c r="C260" s="5">
        <v>14.47</v>
      </c>
      <c r="D260" s="5">
        <v>40.06</v>
      </c>
      <c r="E260" s="5">
        <v>5.61</v>
      </c>
      <c r="F260" s="5">
        <v>0.89999999999999991</v>
      </c>
      <c r="G260" s="5">
        <v>0.1</v>
      </c>
      <c r="H260" s="5">
        <v>39.880000000000003</v>
      </c>
      <c r="I260" s="5">
        <v>1.56</v>
      </c>
      <c r="J260" s="5">
        <v>11.89</v>
      </c>
      <c r="K260" s="5">
        <v>75.78</v>
      </c>
      <c r="L260" s="5">
        <v>14.77</v>
      </c>
      <c r="M260" s="5">
        <v>720</v>
      </c>
      <c r="N260" s="5"/>
      <c r="O260" s="5">
        <v>1.2</v>
      </c>
      <c r="P260" s="5">
        <v>0</v>
      </c>
      <c r="Q260" s="5" t="s">
        <v>44</v>
      </c>
      <c r="R260" s="5">
        <v>0</v>
      </c>
      <c r="S260">
        <v>71.5</v>
      </c>
      <c r="T260">
        <v>9</v>
      </c>
      <c r="U260">
        <v>7.5</v>
      </c>
      <c r="V260">
        <v>12</v>
      </c>
      <c r="W260" s="6">
        <v>13.152774999999998</v>
      </c>
      <c r="X260" s="6"/>
      <c r="Y260" s="5">
        <v>0.77462249999999999</v>
      </c>
      <c r="Z260" s="6"/>
      <c r="AA260" s="5">
        <v>70.41074949853143</v>
      </c>
      <c r="AB260" s="5">
        <v>24.032834467271858</v>
      </c>
    </row>
    <row r="261" spans="1:28" x14ac:dyDescent="0.2">
      <c r="A261" s="3">
        <v>260</v>
      </c>
      <c r="B261" s="4" t="s">
        <v>48</v>
      </c>
      <c r="C261" s="5">
        <v>14.47</v>
      </c>
      <c r="D261" s="5">
        <v>40.06</v>
      </c>
      <c r="E261" s="5">
        <v>5.61</v>
      </c>
      <c r="F261" s="5">
        <v>0.89999999999999991</v>
      </c>
      <c r="G261" s="5">
        <v>0.1</v>
      </c>
      <c r="H261" s="5">
        <v>39.880000000000003</v>
      </c>
      <c r="I261" s="5">
        <v>1.56</v>
      </c>
      <c r="J261" s="5">
        <v>11.89</v>
      </c>
      <c r="K261" s="5">
        <v>75.78</v>
      </c>
      <c r="L261" s="5">
        <v>14.77</v>
      </c>
      <c r="M261" s="5">
        <v>770</v>
      </c>
      <c r="N261" s="5"/>
      <c r="O261" s="5">
        <v>1.2</v>
      </c>
      <c r="P261" s="5">
        <v>0</v>
      </c>
      <c r="Q261" s="5" t="s">
        <v>44</v>
      </c>
      <c r="R261" s="5">
        <v>0</v>
      </c>
      <c r="S261">
        <v>64</v>
      </c>
      <c r="T261">
        <v>13</v>
      </c>
      <c r="U261">
        <v>14.000000000000002</v>
      </c>
      <c r="V261">
        <v>9</v>
      </c>
      <c r="W261" s="6">
        <v>11.772880000000001</v>
      </c>
      <c r="X261" s="6"/>
      <c r="Y261" s="5">
        <v>0.908775</v>
      </c>
      <c r="Z261" s="6"/>
      <c r="AA261" s="5">
        <v>73.938486675881137</v>
      </c>
      <c r="AB261" s="5">
        <v>36.021194875803474</v>
      </c>
    </row>
    <row r="262" spans="1:28" x14ac:dyDescent="0.2">
      <c r="A262" s="3">
        <v>261</v>
      </c>
      <c r="B262" s="4" t="s">
        <v>48</v>
      </c>
      <c r="C262" s="5">
        <v>14.47</v>
      </c>
      <c r="D262" s="5">
        <v>40.06</v>
      </c>
      <c r="E262" s="5">
        <v>5.61</v>
      </c>
      <c r="F262" s="5">
        <v>0.89999999999999991</v>
      </c>
      <c r="G262" s="5">
        <v>0.1</v>
      </c>
      <c r="H262" s="5">
        <v>39.880000000000003</v>
      </c>
      <c r="I262" s="5">
        <v>1.56</v>
      </c>
      <c r="J262" s="5">
        <v>11.89</v>
      </c>
      <c r="K262" s="5">
        <v>75.78</v>
      </c>
      <c r="L262" s="5">
        <v>14.77</v>
      </c>
      <c r="M262" s="5">
        <v>820</v>
      </c>
      <c r="N262" s="5"/>
      <c r="O262" s="5">
        <v>1.2</v>
      </c>
      <c r="P262" s="5">
        <v>0</v>
      </c>
      <c r="Q262" s="5" t="s">
        <v>44</v>
      </c>
      <c r="R262" s="5">
        <v>0</v>
      </c>
      <c r="S262">
        <v>60</v>
      </c>
      <c r="T262">
        <v>15</v>
      </c>
      <c r="U262">
        <v>17</v>
      </c>
      <c r="V262">
        <v>8</v>
      </c>
      <c r="W262" s="6">
        <v>11.235390000000001</v>
      </c>
      <c r="X262" s="6"/>
      <c r="Y262" s="5">
        <v>1.168425</v>
      </c>
      <c r="Z262" s="6"/>
      <c r="AA262" s="5">
        <v>90.723638982377338</v>
      </c>
      <c r="AB262" s="5">
        <v>51.625279447070461</v>
      </c>
    </row>
    <row r="263" spans="1:28" x14ac:dyDescent="0.2">
      <c r="A263" s="3">
        <v>262</v>
      </c>
      <c r="B263" s="4" t="s">
        <v>48</v>
      </c>
      <c r="C263" s="5">
        <v>14.47</v>
      </c>
      <c r="D263" s="5">
        <v>40.06</v>
      </c>
      <c r="E263" s="5">
        <v>5.61</v>
      </c>
      <c r="F263" s="5">
        <v>0.89999999999999991</v>
      </c>
      <c r="G263" s="5">
        <v>0.1</v>
      </c>
      <c r="H263" s="5">
        <v>39.880000000000003</v>
      </c>
      <c r="I263" s="5">
        <v>1.56</v>
      </c>
      <c r="J263" s="5">
        <v>11.89</v>
      </c>
      <c r="K263" s="5">
        <v>75.78</v>
      </c>
      <c r="L263" s="5">
        <v>14.77</v>
      </c>
      <c r="M263" s="5">
        <v>870</v>
      </c>
      <c r="N263" s="5"/>
      <c r="O263" s="5">
        <v>1.2</v>
      </c>
      <c r="P263" s="5">
        <v>0</v>
      </c>
      <c r="Q263" s="5" t="s">
        <v>44</v>
      </c>
      <c r="R263" s="5">
        <v>1</v>
      </c>
      <c r="S263">
        <v>56.565656565656575</v>
      </c>
      <c r="T263">
        <v>20.202020202020201</v>
      </c>
      <c r="U263">
        <v>15.151515151515152</v>
      </c>
      <c r="V263">
        <v>8.0808080808080813</v>
      </c>
      <c r="W263" s="6">
        <v>11.435719999999998</v>
      </c>
      <c r="X263" s="6"/>
      <c r="Y263" s="5">
        <v>1.3415249999999999</v>
      </c>
      <c r="Z263" s="6"/>
      <c r="AA263" s="5">
        <v>106.02145316516929</v>
      </c>
      <c r="AB263" s="5">
        <v>63.223543000472496</v>
      </c>
    </row>
    <row r="264" spans="1:28" x14ac:dyDescent="0.2">
      <c r="A264" s="3">
        <v>263</v>
      </c>
      <c r="B264" s="4" t="s">
        <v>48</v>
      </c>
      <c r="C264" s="5">
        <v>14.47</v>
      </c>
      <c r="D264" s="5">
        <v>40.06</v>
      </c>
      <c r="E264" s="5">
        <v>5.61</v>
      </c>
      <c r="F264" s="5">
        <v>0.89999999999999991</v>
      </c>
      <c r="G264" s="5">
        <v>0.1</v>
      </c>
      <c r="H264" s="5">
        <v>39.880000000000003</v>
      </c>
      <c r="I264" s="5">
        <v>1.56</v>
      </c>
      <c r="J264" s="5">
        <v>11.89</v>
      </c>
      <c r="K264" s="5">
        <v>75.78</v>
      </c>
      <c r="L264" s="5">
        <v>14.77</v>
      </c>
      <c r="M264" s="5">
        <v>920</v>
      </c>
      <c r="N264" s="5"/>
      <c r="O264" s="5">
        <v>1.2</v>
      </c>
      <c r="P264" s="5">
        <v>0</v>
      </c>
      <c r="Q264" s="5" t="s">
        <v>44</v>
      </c>
      <c r="R264" s="5">
        <v>0.5</v>
      </c>
      <c r="S264">
        <v>52.76381909547738</v>
      </c>
      <c r="T264">
        <v>25.125628140703515</v>
      </c>
      <c r="U264">
        <v>14.070351758793972</v>
      </c>
      <c r="V264">
        <v>8.0402010050251249</v>
      </c>
      <c r="W264" s="6">
        <v>11.689964999999999</v>
      </c>
      <c r="X264" s="6"/>
      <c r="Y264" s="5">
        <v>1.4808705</v>
      </c>
      <c r="Z264" s="6"/>
      <c r="AA264" s="5">
        <v>119.63596623726674</v>
      </c>
      <c r="AB264" s="5">
        <v>75.878700183420762</v>
      </c>
    </row>
    <row r="265" spans="1:28" x14ac:dyDescent="0.2">
      <c r="A265" s="3">
        <v>264</v>
      </c>
      <c r="B265" s="4" t="s">
        <v>48</v>
      </c>
      <c r="C265" s="5">
        <v>14.47</v>
      </c>
      <c r="D265" s="5">
        <v>40.06</v>
      </c>
      <c r="E265" s="5">
        <v>5.61</v>
      </c>
      <c r="F265" s="5">
        <v>0.89999999999999991</v>
      </c>
      <c r="G265" s="5">
        <v>0.1</v>
      </c>
      <c r="H265" s="5">
        <v>39.880000000000003</v>
      </c>
      <c r="I265" s="5">
        <v>1.56</v>
      </c>
      <c r="J265" s="5">
        <v>11.89</v>
      </c>
      <c r="K265" s="5">
        <v>75.78</v>
      </c>
      <c r="L265" s="5">
        <v>14.77</v>
      </c>
      <c r="M265" s="5">
        <v>820</v>
      </c>
      <c r="N265" s="5" t="s">
        <v>22</v>
      </c>
      <c r="O265" s="5">
        <v>0.8</v>
      </c>
      <c r="P265" s="5">
        <v>0</v>
      </c>
      <c r="Q265" s="5" t="s">
        <v>44</v>
      </c>
      <c r="R265" s="5">
        <v>0</v>
      </c>
      <c r="S265">
        <v>56.000000000000007</v>
      </c>
      <c r="T265">
        <v>20</v>
      </c>
      <c r="U265">
        <v>15</v>
      </c>
      <c r="V265">
        <v>9</v>
      </c>
      <c r="W265" s="5">
        <v>11.794549999999999</v>
      </c>
      <c r="X265" s="5">
        <v>9</v>
      </c>
      <c r="Y265" s="5">
        <v>0.91228378378378017</v>
      </c>
      <c r="Z265" s="6"/>
      <c r="AA265" s="5">
        <v>74.360585363006109</v>
      </c>
      <c r="AB265" s="5">
        <v>43.965423110066261</v>
      </c>
    </row>
    <row r="266" spans="1:28" x14ac:dyDescent="0.2">
      <c r="A266" s="3">
        <v>265</v>
      </c>
      <c r="B266" s="4" t="s">
        <v>48</v>
      </c>
      <c r="C266" s="5">
        <v>14.47</v>
      </c>
      <c r="D266" s="5">
        <v>40.06</v>
      </c>
      <c r="E266" s="5">
        <v>5.61</v>
      </c>
      <c r="F266" s="5">
        <v>0.89999999999999991</v>
      </c>
      <c r="G266" s="5">
        <v>0.1</v>
      </c>
      <c r="H266" s="5">
        <v>39.880000000000003</v>
      </c>
      <c r="I266" s="5">
        <v>1.56</v>
      </c>
      <c r="J266" s="5">
        <v>11.89</v>
      </c>
      <c r="K266" s="5">
        <v>75.78</v>
      </c>
      <c r="L266" s="5">
        <v>14.77</v>
      </c>
      <c r="M266" s="5">
        <v>820</v>
      </c>
      <c r="N266" s="5" t="s">
        <v>22</v>
      </c>
      <c r="O266" s="5">
        <v>1</v>
      </c>
      <c r="P266" s="5">
        <v>0</v>
      </c>
      <c r="Q266" s="5" t="s">
        <v>44</v>
      </c>
      <c r="R266" s="5">
        <v>0</v>
      </c>
      <c r="S266">
        <v>57.213930348258714</v>
      </c>
      <c r="T266">
        <v>17.910447761194032</v>
      </c>
      <c r="U266">
        <v>16.915422885572141</v>
      </c>
      <c r="V266">
        <v>7.9601990049751254</v>
      </c>
      <c r="W266" s="5">
        <v>11.344804999999999</v>
      </c>
      <c r="X266" s="5">
        <v>8.85</v>
      </c>
      <c r="Y266" s="5">
        <v>1.0409391891891868</v>
      </c>
      <c r="Z266" s="6"/>
      <c r="AA266" s="5">
        <v>81.611970409187506</v>
      </c>
      <c r="AB266" s="5">
        <v>49.288822141312522</v>
      </c>
    </row>
    <row r="267" spans="1:28" x14ac:dyDescent="0.2">
      <c r="A267" s="3">
        <v>266</v>
      </c>
      <c r="B267" s="4" t="s">
        <v>48</v>
      </c>
      <c r="C267" s="5">
        <v>14.47</v>
      </c>
      <c r="D267" s="5">
        <v>40.06</v>
      </c>
      <c r="E267" s="5">
        <v>5.61</v>
      </c>
      <c r="F267" s="5">
        <v>0.89999999999999991</v>
      </c>
      <c r="G267" s="5">
        <v>0.1</v>
      </c>
      <c r="H267" s="5">
        <v>39.880000000000003</v>
      </c>
      <c r="I267" s="5">
        <v>1.56</v>
      </c>
      <c r="J267" s="5">
        <v>11.89</v>
      </c>
      <c r="K267" s="5">
        <v>75.78</v>
      </c>
      <c r="L267" s="5">
        <v>14.77</v>
      </c>
      <c r="M267" s="5">
        <v>820</v>
      </c>
      <c r="N267" s="5" t="s">
        <v>22</v>
      </c>
      <c r="O267" s="5">
        <v>1.2</v>
      </c>
      <c r="P267" s="5">
        <v>0</v>
      </c>
      <c r="Q267" s="5" t="s">
        <v>44</v>
      </c>
      <c r="R267" s="5">
        <v>0</v>
      </c>
      <c r="S267">
        <v>59.701492537313442</v>
      </c>
      <c r="T267">
        <v>14.92537313432836</v>
      </c>
      <c r="U267">
        <v>17.412935323383088</v>
      </c>
      <c r="V267">
        <v>7.9601990049751254</v>
      </c>
      <c r="W267" s="5">
        <v>11.235390000000001</v>
      </c>
      <c r="X267" s="5">
        <v>7.85</v>
      </c>
      <c r="Y267" s="5">
        <v>1.1812905405405363</v>
      </c>
      <c r="Z267" s="6"/>
      <c r="AA267" s="5">
        <v>91.722597970170952</v>
      </c>
      <c r="AB267" s="5">
        <v>52.882817030829045</v>
      </c>
    </row>
    <row r="268" spans="1:28" x14ac:dyDescent="0.2">
      <c r="A268" s="3">
        <v>267</v>
      </c>
      <c r="B268" s="4" t="s">
        <v>48</v>
      </c>
      <c r="C268" s="5">
        <v>14.47</v>
      </c>
      <c r="D268" s="5">
        <v>40.06</v>
      </c>
      <c r="E268" s="5">
        <v>5.61</v>
      </c>
      <c r="F268" s="5">
        <v>0.89999999999999991</v>
      </c>
      <c r="G268" s="5">
        <v>0.1</v>
      </c>
      <c r="H268" s="5">
        <v>39.880000000000003</v>
      </c>
      <c r="I268" s="5">
        <v>1.56</v>
      </c>
      <c r="J268" s="5">
        <v>11.89</v>
      </c>
      <c r="K268" s="5">
        <v>75.78</v>
      </c>
      <c r="L268" s="5">
        <v>14.77</v>
      </c>
      <c r="M268" s="5">
        <v>820</v>
      </c>
      <c r="N268" s="5" t="s">
        <v>22</v>
      </c>
      <c r="O268" s="5">
        <v>1.4</v>
      </c>
      <c r="P268" s="5">
        <v>0</v>
      </c>
      <c r="Q268" s="5" t="s">
        <v>44</v>
      </c>
      <c r="R268" s="5">
        <v>0</v>
      </c>
      <c r="S268">
        <v>59.701492537313442</v>
      </c>
      <c r="T268">
        <v>14.92537313432836</v>
      </c>
      <c r="U268">
        <v>17.412935323383088</v>
      </c>
      <c r="V268">
        <v>7.9601990049751254</v>
      </c>
      <c r="W268" s="5">
        <v>11.235390000000001</v>
      </c>
      <c r="X268" s="5">
        <v>6.7</v>
      </c>
      <c r="Y268" s="5">
        <v>1.286554054054057</v>
      </c>
      <c r="Z268" s="6"/>
      <c r="AA268" s="5">
        <v>99.895898779394685</v>
      </c>
      <c r="AB268" s="5">
        <v>57.595147261299296</v>
      </c>
    </row>
    <row r="269" spans="1:28" x14ac:dyDescent="0.2">
      <c r="A269" s="3">
        <v>268</v>
      </c>
      <c r="B269" s="4" t="s">
        <v>48</v>
      </c>
      <c r="C269" s="5">
        <v>14.47</v>
      </c>
      <c r="D269" s="5">
        <v>40.06</v>
      </c>
      <c r="E269" s="5">
        <v>5.61</v>
      </c>
      <c r="F269" s="5">
        <v>0.89999999999999991</v>
      </c>
      <c r="G269" s="5">
        <v>0.1</v>
      </c>
      <c r="H269" s="5">
        <v>39.880000000000003</v>
      </c>
      <c r="I269" s="5">
        <v>1.56</v>
      </c>
      <c r="J269" s="5">
        <v>11.89</v>
      </c>
      <c r="K269" s="5">
        <v>75.78</v>
      </c>
      <c r="L269" s="5">
        <v>14.77</v>
      </c>
      <c r="M269" s="5">
        <v>820</v>
      </c>
      <c r="N269" s="5" t="s">
        <v>22</v>
      </c>
      <c r="O269" s="5">
        <v>1.7</v>
      </c>
      <c r="P269" s="5">
        <v>0</v>
      </c>
      <c r="Q269" s="5" t="s">
        <v>44</v>
      </c>
      <c r="R269" s="5">
        <v>0</v>
      </c>
      <c r="S269">
        <v>60</v>
      </c>
      <c r="T269">
        <v>14.499999999999998</v>
      </c>
      <c r="U269">
        <v>17.5</v>
      </c>
      <c r="V269">
        <v>8</v>
      </c>
      <c r="W269" s="5">
        <v>11.172225000000001</v>
      </c>
      <c r="X269" s="5">
        <v>6.55</v>
      </c>
      <c r="Y269" s="5">
        <v>1.1111148648648614</v>
      </c>
      <c r="Z269" s="6"/>
      <c r="AA269" s="5">
        <v>85.788702633827427</v>
      </c>
      <c r="AB269" s="5">
        <v>49.154837627161903</v>
      </c>
    </row>
    <row r="270" spans="1:28" x14ac:dyDescent="0.2">
      <c r="A270" s="3">
        <v>269</v>
      </c>
      <c r="B270" s="4" t="s">
        <v>48</v>
      </c>
      <c r="C270" s="5">
        <v>14.47</v>
      </c>
      <c r="D270" s="5">
        <v>40.06</v>
      </c>
      <c r="E270" s="5">
        <v>5.61</v>
      </c>
      <c r="F270" s="5">
        <v>0.89999999999999991</v>
      </c>
      <c r="G270" s="5">
        <v>0.1</v>
      </c>
      <c r="H270" s="5">
        <v>39.880000000000003</v>
      </c>
      <c r="I270" s="5">
        <v>1.56</v>
      </c>
      <c r="J270" s="5">
        <v>11.89</v>
      </c>
      <c r="K270" s="5">
        <v>75.78</v>
      </c>
      <c r="L270" s="5">
        <v>14.77</v>
      </c>
      <c r="M270" s="5">
        <v>820</v>
      </c>
      <c r="N270" s="5" t="s">
        <v>22</v>
      </c>
      <c r="O270" s="5">
        <v>2</v>
      </c>
      <c r="P270" s="5">
        <v>0</v>
      </c>
      <c r="Q270" s="5" t="s">
        <v>44</v>
      </c>
      <c r="R270" s="5">
        <v>0.5</v>
      </c>
      <c r="S270">
        <v>60.301507537688437</v>
      </c>
      <c r="T270">
        <v>14.070351758793972</v>
      </c>
      <c r="U270">
        <v>17.587939698492463</v>
      </c>
      <c r="V270">
        <v>8.0402010050251249</v>
      </c>
      <c r="W270" s="5">
        <v>11.109059999999999</v>
      </c>
      <c r="X270" s="5">
        <v>6.5</v>
      </c>
      <c r="Y270" s="5">
        <v>1.0292432432432439</v>
      </c>
      <c r="Z270" s="6"/>
      <c r="AA270" s="5">
        <v>79.018140592838904</v>
      </c>
      <c r="AB270" s="5">
        <v>44.989686637071451</v>
      </c>
    </row>
    <row r="271" spans="1:28" x14ac:dyDescent="0.2">
      <c r="A271" s="3">
        <v>270</v>
      </c>
      <c r="B271" s="4" t="s">
        <v>57</v>
      </c>
      <c r="C271" s="5">
        <v>17.3</v>
      </c>
      <c r="D271" s="5">
        <v>41.783280000000005</v>
      </c>
      <c r="E271" s="5">
        <v>5.3545799999999995</v>
      </c>
      <c r="F271" s="5">
        <v>0.45645600000000003</v>
      </c>
      <c r="G271" s="5">
        <v>0</v>
      </c>
      <c r="H271" s="5">
        <v>40.185684000000002</v>
      </c>
      <c r="I271" s="5">
        <v>2.12</v>
      </c>
      <c r="J271" s="5">
        <v>10.1</v>
      </c>
      <c r="K271" s="5">
        <v>80.06</v>
      </c>
      <c r="L271" s="5">
        <v>17.82</v>
      </c>
      <c r="M271" s="5">
        <v>926.85</v>
      </c>
      <c r="N271" s="5"/>
      <c r="O271" s="5">
        <v>0</v>
      </c>
      <c r="P271" s="5">
        <v>0.27900000000000003</v>
      </c>
      <c r="Q271" s="5" t="s">
        <v>23</v>
      </c>
      <c r="R271" s="5">
        <v>46.77338165710259</v>
      </c>
      <c r="S271">
        <v>29.941365613769623</v>
      </c>
      <c r="T271">
        <v>42.481558539814642</v>
      </c>
      <c r="U271">
        <v>23.321354265178744</v>
      </c>
      <c r="V271">
        <v>4.2557215812369966</v>
      </c>
      <c r="W271" s="6">
        <v>5.72</v>
      </c>
      <c r="X271" s="6"/>
      <c r="Y271" s="5">
        <v>2</v>
      </c>
      <c r="Z271" s="5">
        <v>77.966101694915253</v>
      </c>
      <c r="AA271" s="5">
        <v>66.127167630057798</v>
      </c>
      <c r="AB271" s="5">
        <v>78.740343637454956</v>
      </c>
    </row>
    <row r="272" spans="1:28" x14ac:dyDescent="0.2">
      <c r="A272" s="3">
        <v>271</v>
      </c>
      <c r="B272" s="4" t="s">
        <v>57</v>
      </c>
      <c r="C272" s="5">
        <v>17.3</v>
      </c>
      <c r="D272" s="5">
        <v>41.783280000000005</v>
      </c>
      <c r="E272" s="5">
        <v>5.3545799999999995</v>
      </c>
      <c r="F272" s="5">
        <v>0.45645600000000003</v>
      </c>
      <c r="G272" s="5">
        <v>0</v>
      </c>
      <c r="H272" s="5">
        <v>40.185684000000002</v>
      </c>
      <c r="I272" s="5">
        <v>2.12</v>
      </c>
      <c r="J272" s="5">
        <v>10.1</v>
      </c>
      <c r="K272" s="5">
        <v>80.06</v>
      </c>
      <c r="L272" s="5">
        <v>17.82</v>
      </c>
      <c r="M272" s="5">
        <v>926.85</v>
      </c>
      <c r="N272" s="5"/>
      <c r="O272" s="5">
        <v>0</v>
      </c>
      <c r="P272" s="5">
        <v>0.27700000000000002</v>
      </c>
      <c r="Q272" s="5" t="s">
        <v>23</v>
      </c>
      <c r="R272" s="5">
        <v>45.49110284507892</v>
      </c>
      <c r="S272">
        <v>32.38657322021394</v>
      </c>
      <c r="T272">
        <v>41.700479527849495</v>
      </c>
      <c r="U272">
        <v>22.168941350055331</v>
      </c>
      <c r="V272">
        <v>3.7440059018812248</v>
      </c>
      <c r="W272" s="6">
        <v>5.74</v>
      </c>
      <c r="X272" s="6"/>
      <c r="Y272" s="5">
        <v>2.0273972602739727</v>
      </c>
      <c r="Z272" s="5">
        <v>79.452054794520535</v>
      </c>
      <c r="AA272" s="5">
        <v>67.267400427587305</v>
      </c>
      <c r="AB272" s="5">
        <v>78.956400656152866</v>
      </c>
    </row>
    <row r="273" spans="1:28" x14ac:dyDescent="0.2">
      <c r="A273" s="3">
        <v>272</v>
      </c>
      <c r="B273" s="4" t="s">
        <v>57</v>
      </c>
      <c r="C273" s="5">
        <v>17.3</v>
      </c>
      <c r="D273" s="5">
        <v>41.783280000000005</v>
      </c>
      <c r="E273" s="5">
        <v>5.3545799999999995</v>
      </c>
      <c r="F273" s="5">
        <v>0.45645600000000003</v>
      </c>
      <c r="G273" s="5">
        <v>0</v>
      </c>
      <c r="H273" s="5">
        <v>40.185684000000002</v>
      </c>
      <c r="I273" s="5">
        <v>2.12</v>
      </c>
      <c r="J273" s="5">
        <v>10.1</v>
      </c>
      <c r="K273" s="5">
        <v>80.06</v>
      </c>
      <c r="L273" s="5">
        <v>17.82</v>
      </c>
      <c r="M273" s="5">
        <v>926.85</v>
      </c>
      <c r="N273" s="5"/>
      <c r="O273" s="5">
        <v>0</v>
      </c>
      <c r="P273" s="5">
        <v>0.28699999999999998</v>
      </c>
      <c r="Q273" s="5" t="s">
        <v>23</v>
      </c>
      <c r="R273" s="5">
        <v>46.85708538670422</v>
      </c>
      <c r="S273">
        <v>31.415594246782742</v>
      </c>
      <c r="T273">
        <v>42.676003028009085</v>
      </c>
      <c r="U273">
        <v>22.293716881150644</v>
      </c>
      <c r="V273">
        <v>3.6146858440575325</v>
      </c>
      <c r="W273" s="6">
        <v>5.62</v>
      </c>
      <c r="X273" s="6"/>
      <c r="Y273" s="5">
        <v>2.0547945205479454</v>
      </c>
      <c r="Z273" s="5">
        <v>79.452054794520535</v>
      </c>
      <c r="AA273" s="5">
        <v>66.751128355372572</v>
      </c>
      <c r="AB273" s="5">
        <v>79.082126514989554</v>
      </c>
    </row>
    <row r="274" spans="1:28" x14ac:dyDescent="0.2">
      <c r="A274" s="3">
        <v>273</v>
      </c>
      <c r="B274" s="4" t="s">
        <v>58</v>
      </c>
      <c r="C274" s="5">
        <v>18.399999999999999</v>
      </c>
      <c r="D274" s="5">
        <v>43.236439999999995</v>
      </c>
      <c r="E274" s="5">
        <v>5.1272000000000002</v>
      </c>
      <c r="F274" s="5">
        <v>0.15911999999999998</v>
      </c>
      <c r="G274" s="5">
        <v>0</v>
      </c>
      <c r="H274" s="5">
        <v>39.87724</v>
      </c>
      <c r="I274" s="5">
        <v>2.1</v>
      </c>
      <c r="J274" s="5">
        <v>9.5</v>
      </c>
      <c r="K274" s="5">
        <v>80.63</v>
      </c>
      <c r="L274" s="5">
        <v>17.27</v>
      </c>
      <c r="M274" s="5">
        <v>926.85</v>
      </c>
      <c r="N274" s="5"/>
      <c r="O274" s="5">
        <v>0</v>
      </c>
      <c r="P274" s="5">
        <v>0.27200000000000002</v>
      </c>
      <c r="Q274" s="5" t="s">
        <v>23</v>
      </c>
      <c r="R274" s="5">
        <v>47.458818802732026</v>
      </c>
      <c r="S274">
        <v>31.255974001147013</v>
      </c>
      <c r="T274">
        <v>40.699675014337608</v>
      </c>
      <c r="U274">
        <v>23.685719747658194</v>
      </c>
      <c r="V274">
        <v>4.3586312368571978</v>
      </c>
      <c r="W274" s="6">
        <v>5.52</v>
      </c>
      <c r="X274" s="6"/>
      <c r="Y274" s="5">
        <v>1.8103448275862069</v>
      </c>
      <c r="Z274" s="5">
        <v>108.62068965517241</v>
      </c>
      <c r="AA274" s="5">
        <v>54.310344827586199</v>
      </c>
      <c r="AB274" s="5">
        <v>67.423429028687451</v>
      </c>
    </row>
    <row r="275" spans="1:28" x14ac:dyDescent="0.2">
      <c r="A275" s="3">
        <v>274</v>
      </c>
      <c r="B275" s="4" t="s">
        <v>40</v>
      </c>
      <c r="C275" s="5">
        <v>15.6</v>
      </c>
      <c r="D275" s="5">
        <v>35.052959999999999</v>
      </c>
      <c r="E275" s="5">
        <v>4.4312499999999995</v>
      </c>
      <c r="F275" s="5">
        <v>0.38285999999999998</v>
      </c>
      <c r="G275" s="5">
        <v>0</v>
      </c>
      <c r="H275" s="5">
        <v>31.03293</v>
      </c>
      <c r="I275" s="5">
        <v>16.600000000000001</v>
      </c>
      <c r="J275" s="5">
        <v>12.5</v>
      </c>
      <c r="K275" s="5">
        <v>67.95</v>
      </c>
      <c r="L275" s="5">
        <v>15.45</v>
      </c>
      <c r="M275" s="5">
        <v>926.85</v>
      </c>
      <c r="N275" s="5"/>
      <c r="O275" s="5">
        <v>0</v>
      </c>
      <c r="P275" s="5">
        <v>0.38200000000000001</v>
      </c>
      <c r="Q275" s="5" t="s">
        <v>23</v>
      </c>
      <c r="R275" s="5">
        <v>60.633393465624387</v>
      </c>
      <c r="S275">
        <v>20.290224032586558</v>
      </c>
      <c r="T275">
        <v>51.018329938900195</v>
      </c>
      <c r="U275">
        <v>26.934826883910386</v>
      </c>
      <c r="V275">
        <v>1.7566191446028512</v>
      </c>
      <c r="W275" s="6">
        <v>3.76</v>
      </c>
      <c r="X275" s="6"/>
      <c r="Y275" s="5">
        <v>1.74</v>
      </c>
      <c r="Z275" s="5">
        <v>172</v>
      </c>
      <c r="AA275" s="5">
        <v>41.938461538461539</v>
      </c>
      <c r="AB275" s="5">
        <v>55.76224501560332</v>
      </c>
    </row>
    <row r="276" spans="1:28" x14ac:dyDescent="0.2">
      <c r="A276" s="3">
        <v>275</v>
      </c>
      <c r="B276" s="4" t="s">
        <v>40</v>
      </c>
      <c r="C276" s="5">
        <v>15.6</v>
      </c>
      <c r="D276" s="5">
        <v>35.052959999999999</v>
      </c>
      <c r="E276" s="5">
        <v>4.4312499999999995</v>
      </c>
      <c r="F276" s="5">
        <v>0.38285999999999998</v>
      </c>
      <c r="G276" s="5">
        <v>0</v>
      </c>
      <c r="H276" s="5">
        <v>31.03293</v>
      </c>
      <c r="I276" s="5">
        <v>16.600000000000001</v>
      </c>
      <c r="J276" s="5">
        <v>12.5</v>
      </c>
      <c r="K276" s="5">
        <v>67.95</v>
      </c>
      <c r="L276" s="5">
        <v>15.45</v>
      </c>
      <c r="M276" s="5">
        <v>926.85</v>
      </c>
      <c r="N276" s="5"/>
      <c r="O276" s="5">
        <v>0</v>
      </c>
      <c r="P276" s="5">
        <v>0.41399999999999998</v>
      </c>
      <c r="Q276" s="5" t="s">
        <v>23</v>
      </c>
      <c r="R276" s="5">
        <v>66.708104423146324</v>
      </c>
      <c r="S276">
        <v>17.405444471211759</v>
      </c>
      <c r="T276">
        <v>36.94892796916406</v>
      </c>
      <c r="U276">
        <v>43.814743435316785</v>
      </c>
      <c r="V276">
        <v>1.8308841243073959</v>
      </c>
      <c r="W276" s="6">
        <v>2.5299999999999998</v>
      </c>
      <c r="X276" s="6"/>
      <c r="Y276" s="5">
        <v>1.8888888888888888</v>
      </c>
      <c r="Z276" s="5">
        <v>187.30158730158729</v>
      </c>
      <c r="AA276" s="5">
        <v>30.633903133903129</v>
      </c>
      <c r="AB276" s="5">
        <v>54.066248266296817</v>
      </c>
    </row>
    <row r="277" spans="1:28" x14ac:dyDescent="0.2">
      <c r="A277" s="3">
        <v>276</v>
      </c>
      <c r="B277" s="4" t="s">
        <v>59</v>
      </c>
      <c r="C277" s="5">
        <v>18.100000000000001</v>
      </c>
      <c r="D277" s="5">
        <v>40.560152000000002</v>
      </c>
      <c r="E277" s="5">
        <v>4.6431959999999997</v>
      </c>
      <c r="F277" s="5">
        <v>0.70206399999999991</v>
      </c>
      <c r="G277" s="5">
        <v>0</v>
      </c>
      <c r="H277" s="5">
        <v>33.874587999999996</v>
      </c>
      <c r="I277" s="5">
        <v>2.62</v>
      </c>
      <c r="J277" s="5">
        <v>17.600000000000001</v>
      </c>
      <c r="K277" s="5">
        <v>80.84</v>
      </c>
      <c r="L277" s="5">
        <v>16.54</v>
      </c>
      <c r="M277" s="5">
        <v>926.85</v>
      </c>
      <c r="N277" s="5"/>
      <c r="O277" s="5">
        <v>0</v>
      </c>
      <c r="P277" s="5">
        <v>0.25700000000000001</v>
      </c>
      <c r="Q277" s="5" t="s">
        <v>23</v>
      </c>
      <c r="R277" s="5">
        <v>45.323813354786815</v>
      </c>
      <c r="S277">
        <v>31.37759794004047</v>
      </c>
      <c r="T277">
        <v>39.985286003310655</v>
      </c>
      <c r="U277">
        <v>23.947029611918339</v>
      </c>
      <c r="V277">
        <v>4.6900864447305501</v>
      </c>
      <c r="W277" s="6">
        <v>5.82</v>
      </c>
      <c r="X277" s="6"/>
      <c r="Y277" s="5">
        <v>1.9772727272727273</v>
      </c>
      <c r="Z277" s="5">
        <v>120.45454545454545</v>
      </c>
      <c r="AA277" s="5">
        <v>63.578603716725254</v>
      </c>
      <c r="AB277" s="5">
        <v>73.540448468968066</v>
      </c>
    </row>
    <row r="278" spans="1:28" x14ac:dyDescent="0.2">
      <c r="A278" s="3">
        <v>277</v>
      </c>
      <c r="B278" s="4" t="s">
        <v>60</v>
      </c>
      <c r="C278" s="5">
        <v>21.647058823529409</v>
      </c>
      <c r="D278" s="5">
        <v>43.792949999999998</v>
      </c>
      <c r="E278" s="5">
        <v>5.3033000000000001</v>
      </c>
      <c r="F278" s="5">
        <v>1.8461999999999998</v>
      </c>
      <c r="G278" s="5">
        <v>0</v>
      </c>
      <c r="H278" s="5">
        <v>35.485049999999994</v>
      </c>
      <c r="I278" s="5">
        <v>4.5</v>
      </c>
      <c r="J278" s="5">
        <v>5</v>
      </c>
      <c r="K278" s="5">
        <v>80.3</v>
      </c>
      <c r="L278" s="5">
        <v>15.2</v>
      </c>
      <c r="M278" s="5">
        <v>850</v>
      </c>
      <c r="N278" s="5"/>
      <c r="O278" s="5">
        <v>0</v>
      </c>
      <c r="P278" s="5">
        <v>0.3</v>
      </c>
      <c r="Q278" s="5" t="s">
        <v>23</v>
      </c>
      <c r="R278" s="5">
        <v>51.654964894684049</v>
      </c>
      <c r="S278">
        <v>36.30705394190872</v>
      </c>
      <c r="T278">
        <v>39.834024896265561</v>
      </c>
      <c r="U278">
        <v>21.369294605809131</v>
      </c>
      <c r="V278">
        <v>2.4896265560165975</v>
      </c>
      <c r="W278" s="16">
        <v>4.7431569999999992</v>
      </c>
      <c r="X278" s="16"/>
      <c r="Y278" s="16"/>
      <c r="Z278" s="16"/>
      <c r="AA278" s="16"/>
      <c r="AB278" s="16"/>
    </row>
    <row r="279" spans="1:28" x14ac:dyDescent="0.2">
      <c r="A279" s="3">
        <v>278</v>
      </c>
      <c r="B279" s="4" t="s">
        <v>60</v>
      </c>
      <c r="C279" s="5">
        <v>18.399999999999999</v>
      </c>
      <c r="D279" s="5">
        <v>36.534449999999993</v>
      </c>
      <c r="E279" s="5">
        <v>4.4242999999999997</v>
      </c>
      <c r="F279" s="5">
        <v>1.5401999999999998</v>
      </c>
      <c r="G279" s="5">
        <v>0</v>
      </c>
      <c r="H279" s="5">
        <v>29.603549999999995</v>
      </c>
      <c r="I279" s="5">
        <v>4.5</v>
      </c>
      <c r="J279" s="5">
        <v>20</v>
      </c>
      <c r="K279" s="5">
        <v>80.3</v>
      </c>
      <c r="L279" s="5">
        <v>15.2</v>
      </c>
      <c r="M279" s="5">
        <v>850</v>
      </c>
      <c r="N279" s="5"/>
      <c r="O279" s="5">
        <v>0</v>
      </c>
      <c r="P279" s="5">
        <v>0.3</v>
      </c>
      <c r="Q279" s="5" t="s">
        <v>23</v>
      </c>
      <c r="R279" s="5">
        <v>50.728277247614258</v>
      </c>
      <c r="S279">
        <v>37.104994903160041</v>
      </c>
      <c r="T279">
        <v>37.71661569826707</v>
      </c>
      <c r="U279">
        <v>22.426095820591232</v>
      </c>
      <c r="V279">
        <v>2.7522935779816513</v>
      </c>
      <c r="W279" s="16">
        <v>4.7840315000000002</v>
      </c>
      <c r="X279" s="16"/>
      <c r="Y279" s="16"/>
      <c r="Z279" s="16"/>
      <c r="AA279" s="16"/>
      <c r="AB279" s="16"/>
    </row>
    <row r="280" spans="1:28" x14ac:dyDescent="0.2">
      <c r="A280" s="3">
        <v>279</v>
      </c>
      <c r="B280" s="4" t="s">
        <v>61</v>
      </c>
      <c r="C280" s="5">
        <v>19.058823529411764</v>
      </c>
      <c r="D280" s="5">
        <v>39.764849999999996</v>
      </c>
      <c r="E280" s="5">
        <v>5.5131999999999994</v>
      </c>
      <c r="F280" s="5">
        <v>1.4767499999999998</v>
      </c>
      <c r="G280" s="5">
        <v>0</v>
      </c>
      <c r="H280" s="5">
        <v>37.500499999999995</v>
      </c>
      <c r="I280" s="5">
        <v>5.5</v>
      </c>
      <c r="J280" s="5">
        <v>5</v>
      </c>
      <c r="K280" s="5">
        <v>81.25</v>
      </c>
      <c r="L280" s="5">
        <v>13.25</v>
      </c>
      <c r="M280" s="5">
        <v>850</v>
      </c>
      <c r="N280" s="5"/>
      <c r="O280" s="5">
        <v>0</v>
      </c>
      <c r="P280" s="5">
        <v>0.3</v>
      </c>
      <c r="Q280" s="5" t="s">
        <v>23</v>
      </c>
      <c r="R280" s="5">
        <v>52.505010020040075</v>
      </c>
      <c r="S280">
        <v>35.864978902953588</v>
      </c>
      <c r="T280">
        <v>39.029535864978911</v>
      </c>
      <c r="U280">
        <v>22.573839662447256</v>
      </c>
      <c r="V280">
        <v>2.5316455696202533</v>
      </c>
      <c r="W280" s="16">
        <v>4.6008109999999993</v>
      </c>
      <c r="X280" s="16"/>
      <c r="Y280" s="16"/>
      <c r="Z280" s="16"/>
      <c r="AA280" s="16"/>
      <c r="AB280" s="16"/>
    </row>
    <row r="281" spans="1:28" x14ac:dyDescent="0.2">
      <c r="A281" s="3">
        <v>280</v>
      </c>
      <c r="B281" s="4" t="s">
        <v>61</v>
      </c>
      <c r="C281" s="5">
        <v>16.2</v>
      </c>
      <c r="D281" s="5">
        <v>33.100349999999992</v>
      </c>
      <c r="E281" s="5">
        <v>4.5891999999999991</v>
      </c>
      <c r="F281" s="5">
        <v>1.2292499999999997</v>
      </c>
      <c r="G281" s="5">
        <v>0</v>
      </c>
      <c r="H281" s="5">
        <v>31.215499999999995</v>
      </c>
      <c r="I281" s="5">
        <v>5.5</v>
      </c>
      <c r="J281" s="5">
        <v>20</v>
      </c>
      <c r="K281" s="5">
        <v>81.25</v>
      </c>
      <c r="L281" s="5">
        <v>13.25</v>
      </c>
      <c r="M281" s="5">
        <v>850</v>
      </c>
      <c r="N281" s="5"/>
      <c r="O281" s="5">
        <v>0</v>
      </c>
      <c r="P281" s="5">
        <v>0.3</v>
      </c>
      <c r="Q281" s="5" t="s">
        <v>23</v>
      </c>
      <c r="R281" s="5">
        <v>51.577366049073618</v>
      </c>
      <c r="S281">
        <v>36.194415718717678</v>
      </c>
      <c r="T281">
        <v>37.22854188210961</v>
      </c>
      <c r="U281">
        <v>23.784901758014477</v>
      </c>
      <c r="V281">
        <v>2.792140641158221</v>
      </c>
      <c r="W281" s="16">
        <v>4.6453854999999997</v>
      </c>
      <c r="X281" s="16"/>
      <c r="Y281" s="16"/>
      <c r="Z281" s="16"/>
      <c r="AA281" s="16"/>
      <c r="AB281" s="16"/>
    </row>
    <row r="282" spans="1:28" x14ac:dyDescent="0.2">
      <c r="A282" s="3">
        <v>281</v>
      </c>
      <c r="B282" s="4" t="s">
        <v>62</v>
      </c>
      <c r="C282" s="5">
        <v>19.529411764705884</v>
      </c>
      <c r="D282" s="5">
        <v>40.319399999999995</v>
      </c>
      <c r="E282" s="5">
        <v>5.363999999999999</v>
      </c>
      <c r="F282" s="5">
        <v>1.5197999999999998</v>
      </c>
      <c r="G282" s="5">
        <v>0</v>
      </c>
      <c r="H282" s="5">
        <v>37.100999999999999</v>
      </c>
      <c r="I282" s="5">
        <v>5.6</v>
      </c>
      <c r="J282" s="5">
        <v>5</v>
      </c>
      <c r="K282" s="5">
        <v>81.75</v>
      </c>
      <c r="L282" s="5">
        <v>12.65</v>
      </c>
      <c r="M282" s="5">
        <v>850</v>
      </c>
      <c r="N282" s="5"/>
      <c r="O282" s="5">
        <v>0</v>
      </c>
      <c r="P282" s="5">
        <v>0.3</v>
      </c>
      <c r="Q282" s="5" t="s">
        <v>23</v>
      </c>
      <c r="R282" s="5">
        <v>51.654964894684049</v>
      </c>
      <c r="S282">
        <v>36.30705394190872</v>
      </c>
      <c r="T282">
        <v>39.834024896265561</v>
      </c>
      <c r="U282">
        <v>21.369294605809131</v>
      </c>
      <c r="V282">
        <v>2.4896265560165975</v>
      </c>
      <c r="W282" s="16">
        <v>4.7431569999999992</v>
      </c>
      <c r="X282" s="16"/>
      <c r="Y282" s="16"/>
      <c r="Z282" s="16"/>
      <c r="AA282" s="16"/>
      <c r="AB282" s="16"/>
    </row>
    <row r="283" spans="1:28" x14ac:dyDescent="0.2">
      <c r="A283" s="3">
        <v>282</v>
      </c>
      <c r="B283" s="4" t="s">
        <v>62</v>
      </c>
      <c r="C283" s="5">
        <v>16.600000000000001</v>
      </c>
      <c r="D283" s="5">
        <v>33.554400000000001</v>
      </c>
      <c r="E283" s="5">
        <v>4.4640000000000004</v>
      </c>
      <c r="F283" s="5">
        <v>1.2647999999999999</v>
      </c>
      <c r="G283" s="5">
        <v>0</v>
      </c>
      <c r="H283" s="5">
        <v>30.876000000000001</v>
      </c>
      <c r="I283" s="5">
        <v>5.6</v>
      </c>
      <c r="J283" s="5">
        <v>20</v>
      </c>
      <c r="K283" s="5">
        <v>81.75</v>
      </c>
      <c r="L283" s="5">
        <v>12.65</v>
      </c>
      <c r="M283" s="5">
        <v>850</v>
      </c>
      <c r="N283" s="5"/>
      <c r="O283" s="5">
        <v>0</v>
      </c>
      <c r="P283" s="5">
        <v>0.3</v>
      </c>
      <c r="Q283" s="5" t="s">
        <v>23</v>
      </c>
      <c r="R283" s="5">
        <v>50.728277247614258</v>
      </c>
      <c r="S283">
        <v>37.104994903160041</v>
      </c>
      <c r="T283">
        <v>37.71661569826707</v>
      </c>
      <c r="U283">
        <v>22.426095820591232</v>
      </c>
      <c r="V283">
        <v>2.7522935779816513</v>
      </c>
      <c r="W283" s="16">
        <v>4.7840315000000002</v>
      </c>
      <c r="X283" s="16"/>
      <c r="Y283" s="16"/>
      <c r="Z283" s="16"/>
      <c r="AA283" s="16"/>
      <c r="AB283" s="16"/>
    </row>
    <row r="284" spans="1:28" x14ac:dyDescent="0.2">
      <c r="A284" s="3">
        <v>283</v>
      </c>
      <c r="B284" s="4" t="s">
        <v>63</v>
      </c>
      <c r="C284" s="5">
        <v>18.764705882352942</v>
      </c>
      <c r="D284" s="5">
        <v>40.0062</v>
      </c>
      <c r="E284" s="5">
        <v>5.3341599999999998</v>
      </c>
      <c r="F284" s="5">
        <v>1.4717999999999998</v>
      </c>
      <c r="G284" s="5">
        <v>0</v>
      </c>
      <c r="H284" s="5">
        <v>37.321280000000002</v>
      </c>
      <c r="I284" s="5">
        <v>5.8</v>
      </c>
      <c r="J284" s="5">
        <v>5</v>
      </c>
      <c r="K284" s="5">
        <v>82</v>
      </c>
      <c r="L284" s="5">
        <v>12.2</v>
      </c>
      <c r="M284" s="5">
        <v>850</v>
      </c>
      <c r="N284" s="5"/>
      <c r="O284" s="5">
        <v>0</v>
      </c>
      <c r="P284" s="5">
        <v>0.3</v>
      </c>
      <c r="Q284" s="5" t="s">
        <v>23</v>
      </c>
      <c r="R284" s="5">
        <v>53.346753900352297</v>
      </c>
      <c r="S284">
        <v>35.59870550161812</v>
      </c>
      <c r="T284">
        <v>37.756202804746493</v>
      </c>
      <c r="U284">
        <v>24.811218985976264</v>
      </c>
      <c r="V284">
        <v>1.8338727076591153</v>
      </c>
      <c r="W284" s="16">
        <v>4.2949754999999996</v>
      </c>
      <c r="X284" s="16"/>
      <c r="Y284" s="16"/>
      <c r="Z284" s="16"/>
      <c r="AA284" s="16"/>
      <c r="AB284" s="16"/>
    </row>
    <row r="285" spans="1:28" x14ac:dyDescent="0.2">
      <c r="A285" s="3">
        <v>284</v>
      </c>
      <c r="B285" s="4" t="s">
        <v>63</v>
      </c>
      <c r="C285" s="5">
        <v>15.95</v>
      </c>
      <c r="D285" s="5">
        <v>33.278700000000001</v>
      </c>
      <c r="E285" s="5">
        <v>4.4371600000000004</v>
      </c>
      <c r="F285" s="5">
        <v>1.2242999999999999</v>
      </c>
      <c r="G285" s="5">
        <v>0</v>
      </c>
      <c r="H285" s="5">
        <v>31.045280000000002</v>
      </c>
      <c r="I285" s="5">
        <v>5.8</v>
      </c>
      <c r="J285" s="5">
        <v>20</v>
      </c>
      <c r="K285" s="5">
        <v>82</v>
      </c>
      <c r="L285" s="5">
        <v>12.2</v>
      </c>
      <c r="M285" s="5">
        <v>850</v>
      </c>
      <c r="N285" s="5"/>
      <c r="O285" s="5">
        <v>0</v>
      </c>
      <c r="P285" s="5">
        <v>0.3</v>
      </c>
      <c r="Q285" s="5" t="s">
        <v>23</v>
      </c>
      <c r="R285" s="5">
        <v>52.790346907993971</v>
      </c>
      <c r="S285">
        <v>36.208732694355703</v>
      </c>
      <c r="T285">
        <v>36.208732694355703</v>
      </c>
      <c r="U285">
        <v>25.559105431309909</v>
      </c>
      <c r="V285">
        <v>2.023429179978701</v>
      </c>
      <c r="W285" s="16">
        <v>4.3216085</v>
      </c>
      <c r="X285" s="16"/>
      <c r="Y285" s="16"/>
      <c r="Z285" s="16"/>
      <c r="AA285" s="16"/>
      <c r="AB285" s="16"/>
    </row>
    <row r="286" spans="1:28" x14ac:dyDescent="0.2">
      <c r="A286" s="3">
        <v>285</v>
      </c>
      <c r="B286" s="4" t="s">
        <v>64</v>
      </c>
      <c r="C286" s="5">
        <v>20.176470588235293</v>
      </c>
      <c r="D286" s="5">
        <v>41.448399999999999</v>
      </c>
      <c r="E286" s="5">
        <v>5.243199999999999</v>
      </c>
      <c r="F286" s="5">
        <v>1.4463999999999999</v>
      </c>
      <c r="G286" s="5">
        <v>0</v>
      </c>
      <c r="H286" s="5">
        <v>36.385999999999996</v>
      </c>
      <c r="I286" s="5">
        <v>4.5999999999999996</v>
      </c>
      <c r="J286" s="5">
        <v>5</v>
      </c>
      <c r="K286" s="5">
        <v>80</v>
      </c>
      <c r="L286" s="5">
        <v>15.4</v>
      </c>
      <c r="M286" s="5">
        <v>850</v>
      </c>
      <c r="N286" s="5"/>
      <c r="O286" s="5">
        <v>0</v>
      </c>
      <c r="P286" s="5">
        <v>0.3</v>
      </c>
      <c r="Q286" s="5" t="s">
        <v>23</v>
      </c>
      <c r="R286" s="5">
        <v>49.346733668341706</v>
      </c>
      <c r="S286">
        <v>35.714285714285715</v>
      </c>
      <c r="T286">
        <v>40.079365079365076</v>
      </c>
      <c r="U286">
        <v>21.825396825396826</v>
      </c>
      <c r="V286">
        <v>2.3809523809523805</v>
      </c>
      <c r="W286" s="16">
        <v>4.9234019999999994</v>
      </c>
      <c r="X286" s="16"/>
      <c r="Y286" s="16"/>
      <c r="Z286" s="16"/>
      <c r="AA286" s="16"/>
      <c r="AB286" s="16"/>
    </row>
    <row r="287" spans="1:28" x14ac:dyDescent="0.2">
      <c r="A287" s="3">
        <v>286</v>
      </c>
      <c r="B287" s="4" t="s">
        <v>64</v>
      </c>
      <c r="C287" s="5">
        <v>17.149999999999999</v>
      </c>
      <c r="D287" s="5">
        <v>34.570900000000002</v>
      </c>
      <c r="E287" s="5">
        <v>4.3731999999999998</v>
      </c>
      <c r="F287" s="5">
        <v>1.2064000000000001</v>
      </c>
      <c r="G287" s="5">
        <v>0</v>
      </c>
      <c r="H287" s="5">
        <v>30.348500000000001</v>
      </c>
      <c r="I287" s="5">
        <v>4.5999999999999996</v>
      </c>
      <c r="J287" s="5">
        <v>20</v>
      </c>
      <c r="K287" s="5">
        <v>80</v>
      </c>
      <c r="L287" s="5">
        <v>15.4</v>
      </c>
      <c r="M287" s="5">
        <v>850</v>
      </c>
      <c r="N287" s="5"/>
      <c r="O287" s="5">
        <v>0</v>
      </c>
      <c r="P287" s="5">
        <v>0.3</v>
      </c>
      <c r="Q287" s="5" t="s">
        <v>23</v>
      </c>
      <c r="R287" s="5">
        <v>49.096385542168669</v>
      </c>
      <c r="S287">
        <v>37.475345167652854</v>
      </c>
      <c r="T287">
        <v>37.475345167652854</v>
      </c>
      <c r="U287">
        <v>22.485207100591715</v>
      </c>
      <c r="V287">
        <v>2.5641025641025643</v>
      </c>
      <c r="W287" s="16">
        <v>4.9155189999999997</v>
      </c>
      <c r="X287" s="16"/>
      <c r="Y287" s="16"/>
      <c r="Z287" s="16"/>
      <c r="AA287" s="16"/>
      <c r="AB287" s="16"/>
    </row>
    <row r="288" spans="1:28" x14ac:dyDescent="0.2">
      <c r="A288" s="3">
        <v>287</v>
      </c>
      <c r="B288" s="4" t="s">
        <v>54</v>
      </c>
      <c r="C288" s="5">
        <v>16.976400000000002</v>
      </c>
      <c r="D288" s="5">
        <v>38.330122950819678</v>
      </c>
      <c r="E288" s="5">
        <v>5.6818770491803283</v>
      </c>
      <c r="F288" s="5">
        <v>0.1803770491803279</v>
      </c>
      <c r="G288" s="5">
        <v>0</v>
      </c>
      <c r="H288" s="5">
        <v>45.996147540983614</v>
      </c>
      <c r="I288" s="5">
        <v>1.3114754098360657</v>
      </c>
      <c r="J288" s="5">
        <v>8.5</v>
      </c>
      <c r="K288" s="5">
        <v>84.590163934426243</v>
      </c>
      <c r="L288" s="5">
        <v>14.098360655737707</v>
      </c>
      <c r="M288" s="5">
        <v>780</v>
      </c>
      <c r="N288" s="5">
        <v>240</v>
      </c>
      <c r="O288" s="5">
        <v>0.8</v>
      </c>
      <c r="P288" s="5">
        <v>0</v>
      </c>
      <c r="Q288" s="5" t="s">
        <v>44</v>
      </c>
      <c r="R288" s="5">
        <v>0</v>
      </c>
      <c r="S288">
        <v>52.820512820512825</v>
      </c>
      <c r="T288">
        <v>22.564102564102566</v>
      </c>
      <c r="U288">
        <v>17.435897435897434</v>
      </c>
      <c r="V288">
        <v>7.1794871794871788</v>
      </c>
      <c r="W288" s="5">
        <v>12</v>
      </c>
      <c r="X288" s="5">
        <v>20.547945205479451</v>
      </c>
      <c r="Y288" s="5">
        <v>1.3183800000000001</v>
      </c>
      <c r="Z288" s="5">
        <v>58.695</v>
      </c>
      <c r="AA288" s="5">
        <v>93.191489361702125</v>
      </c>
      <c r="AB288" s="5">
        <v>72.519652270588224</v>
      </c>
    </row>
    <row r="289" spans="1:28" x14ac:dyDescent="0.2">
      <c r="A289" s="3">
        <v>288</v>
      </c>
      <c r="B289" s="4" t="s">
        <v>54</v>
      </c>
      <c r="C289" s="5">
        <v>16.976400000000002</v>
      </c>
      <c r="D289" s="5">
        <v>38.330122950819678</v>
      </c>
      <c r="E289" s="5">
        <v>5.6818770491803283</v>
      </c>
      <c r="F289" s="5">
        <v>0.1803770491803279</v>
      </c>
      <c r="G289" s="5">
        <v>0</v>
      </c>
      <c r="H289" s="5">
        <v>45.996147540983614</v>
      </c>
      <c r="I289" s="5">
        <v>1.3114754098360657</v>
      </c>
      <c r="J289" s="5">
        <v>8.5</v>
      </c>
      <c r="K289" s="5">
        <v>84.590163934426243</v>
      </c>
      <c r="L289" s="5">
        <v>14.098360655737707</v>
      </c>
      <c r="M289" s="5">
        <v>750</v>
      </c>
      <c r="N289" s="5">
        <v>240</v>
      </c>
      <c r="O289" s="5">
        <v>0.8</v>
      </c>
      <c r="P289" s="5">
        <v>0</v>
      </c>
      <c r="Q289" s="5" t="s">
        <v>44</v>
      </c>
      <c r="R289" s="5">
        <v>0</v>
      </c>
      <c r="S289">
        <v>57.291666666666664</v>
      </c>
      <c r="T289">
        <v>20.833333333333336</v>
      </c>
      <c r="U289">
        <v>15.625</v>
      </c>
      <c r="V289">
        <v>6.25</v>
      </c>
      <c r="W289" s="5">
        <v>12.4</v>
      </c>
      <c r="X289" s="5">
        <v>26.92307692307692</v>
      </c>
      <c r="Y289" s="5">
        <v>1.1739000000000002</v>
      </c>
      <c r="Z289" s="5">
        <v>99.33</v>
      </c>
      <c r="AA289" s="5">
        <v>85.744680851063848</v>
      </c>
      <c r="AB289" s="5">
        <v>57.529189058823533</v>
      </c>
    </row>
    <row r="290" spans="1:28" x14ac:dyDescent="0.2">
      <c r="A290" s="3">
        <v>289</v>
      </c>
      <c r="B290" s="4" t="s">
        <v>54</v>
      </c>
      <c r="C290" s="5">
        <v>16.976400000000002</v>
      </c>
      <c r="D290" s="5">
        <v>38.330122950819678</v>
      </c>
      <c r="E290" s="5">
        <v>5.6818770491803283</v>
      </c>
      <c r="F290" s="5">
        <v>0.1803770491803279</v>
      </c>
      <c r="G290" s="5">
        <v>0</v>
      </c>
      <c r="H290" s="5">
        <v>45.996147540983614</v>
      </c>
      <c r="I290" s="5">
        <v>1.3114754098360657</v>
      </c>
      <c r="J290" s="5">
        <v>8.5</v>
      </c>
      <c r="K290" s="5">
        <v>84.590163934426243</v>
      </c>
      <c r="L290" s="5">
        <v>14.098360655737707</v>
      </c>
      <c r="M290" s="5">
        <v>700</v>
      </c>
      <c r="N290" s="5">
        <v>240</v>
      </c>
      <c r="O290" s="5">
        <v>0.8</v>
      </c>
      <c r="P290" s="5">
        <v>0</v>
      </c>
      <c r="Q290" s="5" t="s">
        <v>44</v>
      </c>
      <c r="R290" s="5">
        <v>0</v>
      </c>
      <c r="S290">
        <v>58.974358974358964</v>
      </c>
      <c r="T290">
        <v>22.564102564102562</v>
      </c>
      <c r="U290">
        <v>12.307692307692307</v>
      </c>
      <c r="V290">
        <v>6.1538461538461533</v>
      </c>
      <c r="W290" s="5">
        <v>12.6</v>
      </c>
      <c r="X290" s="5">
        <v>38.461538461538467</v>
      </c>
      <c r="Y290" s="5">
        <v>0.93912000000000007</v>
      </c>
      <c r="Z290" s="5">
        <v>139.965</v>
      </c>
      <c r="AA290" s="5">
        <v>69.702127659574472</v>
      </c>
      <c r="AB290" s="5">
        <v>44.602833599999997</v>
      </c>
    </row>
    <row r="291" spans="1:28" x14ac:dyDescent="0.2">
      <c r="A291" s="3">
        <v>290</v>
      </c>
      <c r="B291" s="4" t="s">
        <v>54</v>
      </c>
      <c r="C291" s="5">
        <v>16.976400000000002</v>
      </c>
      <c r="D291" s="5">
        <v>38.330122950819678</v>
      </c>
      <c r="E291" s="5">
        <v>5.6818770491803283</v>
      </c>
      <c r="F291" s="5">
        <v>0.1803770491803279</v>
      </c>
      <c r="G291" s="5">
        <v>0</v>
      </c>
      <c r="H291" s="5">
        <v>45.996147540983614</v>
      </c>
      <c r="I291" s="5">
        <v>1.3114754098360657</v>
      </c>
      <c r="J291" s="5">
        <v>8.5</v>
      </c>
      <c r="K291" s="5">
        <v>84.590163934426243</v>
      </c>
      <c r="L291" s="5">
        <v>14.098360655737707</v>
      </c>
      <c r="M291" s="5">
        <v>650</v>
      </c>
      <c r="N291" s="5">
        <v>240</v>
      </c>
      <c r="O291" s="5">
        <v>0.8</v>
      </c>
      <c r="P291" s="5">
        <v>0</v>
      </c>
      <c r="Q291" s="5" t="s">
        <v>44</v>
      </c>
      <c r="R291" s="5">
        <v>0</v>
      </c>
      <c r="S291">
        <v>52.0618556701031</v>
      </c>
      <c r="T291">
        <v>28.350515463917525</v>
      </c>
      <c r="U291">
        <v>11.340206185567011</v>
      </c>
      <c r="V291">
        <v>8.2474226804123703</v>
      </c>
      <c r="W291" s="5">
        <v>13.2</v>
      </c>
      <c r="X291" s="5">
        <v>76.623376623376629</v>
      </c>
      <c r="Y291" s="5">
        <v>0.69530999999999998</v>
      </c>
      <c r="Z291" s="5">
        <v>198.66</v>
      </c>
      <c r="AA291" s="5">
        <v>54.063829787234035</v>
      </c>
      <c r="AB291" s="5">
        <v>38.148329223529409</v>
      </c>
    </row>
    <row r="292" spans="1:28" x14ac:dyDescent="0.2">
      <c r="A292" s="3">
        <v>291</v>
      </c>
      <c r="B292" s="4" t="s">
        <v>65</v>
      </c>
      <c r="C292" s="5">
        <v>12.339800000000002</v>
      </c>
      <c r="D292" s="5">
        <v>33.60842819956617</v>
      </c>
      <c r="E292" s="5">
        <v>4.6913366594360086</v>
      </c>
      <c r="F292" s="5">
        <v>0.30762863340563995</v>
      </c>
      <c r="G292" s="5">
        <v>0</v>
      </c>
      <c r="H292" s="5">
        <v>38.299764859002174</v>
      </c>
      <c r="I292" s="5">
        <v>15.292841648590022</v>
      </c>
      <c r="J292" s="5">
        <v>7.8</v>
      </c>
      <c r="K292" s="5">
        <v>66.811279826464215</v>
      </c>
      <c r="L292" s="5">
        <v>17.895878524945772</v>
      </c>
      <c r="M292" s="5">
        <v>780</v>
      </c>
      <c r="N292" s="5">
        <v>240</v>
      </c>
      <c r="O292" s="5">
        <v>0.8</v>
      </c>
      <c r="P292" s="5">
        <v>0</v>
      </c>
      <c r="Q292" s="5" t="s">
        <v>44</v>
      </c>
      <c r="R292" s="5">
        <v>0</v>
      </c>
      <c r="S292">
        <v>52.551020408163261</v>
      </c>
      <c r="T292">
        <v>22.448979591836736</v>
      </c>
      <c r="U292">
        <v>18.877551020408163</v>
      </c>
      <c r="V292">
        <v>6.1224489795918364</v>
      </c>
      <c r="W292" s="5">
        <v>11.9</v>
      </c>
      <c r="X292" s="5">
        <v>20</v>
      </c>
      <c r="Y292" s="5">
        <v>1.1324500000000002</v>
      </c>
      <c r="Z292" s="5">
        <v>62.480000000000011</v>
      </c>
      <c r="AA292" s="5">
        <v>109.20886075949366</v>
      </c>
      <c r="AB292" s="5">
        <v>61.403852721477605</v>
      </c>
    </row>
    <row r="293" spans="1:28" x14ac:dyDescent="0.2">
      <c r="A293" s="3">
        <v>292</v>
      </c>
      <c r="B293" s="4" t="s">
        <v>65</v>
      </c>
      <c r="C293" s="5">
        <v>12.339800000000002</v>
      </c>
      <c r="D293" s="5">
        <v>33.60842819956617</v>
      </c>
      <c r="E293" s="5">
        <v>4.6913366594360086</v>
      </c>
      <c r="F293" s="5">
        <v>0.30762863340563995</v>
      </c>
      <c r="G293" s="5">
        <v>0</v>
      </c>
      <c r="H293" s="5">
        <v>38.299764859002174</v>
      </c>
      <c r="I293" s="5">
        <v>15.292841648590022</v>
      </c>
      <c r="J293" s="5">
        <v>7.8</v>
      </c>
      <c r="K293" s="5">
        <v>66.811279826464215</v>
      </c>
      <c r="L293" s="5">
        <v>17.895878524945772</v>
      </c>
      <c r="M293" s="5">
        <v>750</v>
      </c>
      <c r="N293" s="5">
        <v>240</v>
      </c>
      <c r="O293" s="5">
        <v>0.8</v>
      </c>
      <c r="P293" s="5">
        <v>0</v>
      </c>
      <c r="Q293" s="5" t="s">
        <v>44</v>
      </c>
      <c r="R293" s="5">
        <v>0</v>
      </c>
      <c r="S293">
        <v>51.308900523560212</v>
      </c>
      <c r="T293">
        <v>24.083769633507853</v>
      </c>
      <c r="U293">
        <v>18.32460732984293</v>
      </c>
      <c r="V293">
        <v>6.2827225130890048</v>
      </c>
      <c r="W293" s="5">
        <v>12.4</v>
      </c>
      <c r="X293" s="5">
        <v>33.070866141732289</v>
      </c>
      <c r="Y293" s="5">
        <v>0.99187000000000014</v>
      </c>
      <c r="Z293" s="5">
        <v>85.910000000000011</v>
      </c>
      <c r="AA293" s="5">
        <v>99.670886075949383</v>
      </c>
      <c r="AB293" s="5">
        <v>53.6645767522066</v>
      </c>
    </row>
    <row r="294" spans="1:28" x14ac:dyDescent="0.2">
      <c r="A294" s="3">
        <v>293</v>
      </c>
      <c r="B294" s="4" t="s">
        <v>65</v>
      </c>
      <c r="C294" s="5">
        <v>12.339800000000002</v>
      </c>
      <c r="D294" s="5">
        <v>33.60842819956617</v>
      </c>
      <c r="E294" s="5">
        <v>4.6913366594360086</v>
      </c>
      <c r="F294" s="5">
        <v>0.30762863340563995</v>
      </c>
      <c r="G294" s="5">
        <v>0</v>
      </c>
      <c r="H294" s="5">
        <v>38.299764859002174</v>
      </c>
      <c r="I294" s="5">
        <v>15.292841648590022</v>
      </c>
      <c r="J294" s="5">
        <v>7.8</v>
      </c>
      <c r="K294" s="5">
        <v>66.811279826464215</v>
      </c>
      <c r="L294" s="5">
        <v>17.895878524945772</v>
      </c>
      <c r="M294" s="5">
        <v>700</v>
      </c>
      <c r="N294" s="5">
        <v>240</v>
      </c>
      <c r="O294" s="5">
        <v>0.8</v>
      </c>
      <c r="P294" s="5">
        <v>0</v>
      </c>
      <c r="Q294" s="5" t="s">
        <v>44</v>
      </c>
      <c r="R294" s="5">
        <v>0</v>
      </c>
      <c r="S294">
        <v>46.315789473684212</v>
      </c>
      <c r="T294">
        <v>28.947368421052634</v>
      </c>
      <c r="U294">
        <v>16.842105263157894</v>
      </c>
      <c r="V294">
        <v>7.8947368421052628</v>
      </c>
      <c r="W294" s="5">
        <v>13.25</v>
      </c>
      <c r="X294" s="5">
        <v>55.670103092783506</v>
      </c>
      <c r="Y294" s="5">
        <v>0.75757000000000008</v>
      </c>
      <c r="Z294" s="5">
        <v>121.05500000000002</v>
      </c>
      <c r="AA294" s="5">
        <v>81.344936708860757</v>
      </c>
      <c r="AB294" s="5">
        <v>44.676415337937229</v>
      </c>
    </row>
    <row r="295" spans="1:28" x14ac:dyDescent="0.2">
      <c r="A295" s="3">
        <v>294</v>
      </c>
      <c r="B295" s="4" t="s">
        <v>65</v>
      </c>
      <c r="C295" s="5">
        <v>12.339800000000002</v>
      </c>
      <c r="D295" s="5">
        <v>33.60842819956617</v>
      </c>
      <c r="E295" s="5">
        <v>4.6913366594360086</v>
      </c>
      <c r="F295" s="5">
        <v>0.30762863340563995</v>
      </c>
      <c r="G295" s="5">
        <v>0</v>
      </c>
      <c r="H295" s="5">
        <v>38.299764859002174</v>
      </c>
      <c r="I295" s="5">
        <v>15.292841648590022</v>
      </c>
      <c r="J295" s="5">
        <v>7.8</v>
      </c>
      <c r="K295" s="5">
        <v>66.811279826464215</v>
      </c>
      <c r="L295" s="5">
        <v>17.895878524945772</v>
      </c>
      <c r="M295" s="5">
        <v>650</v>
      </c>
      <c r="N295" s="5">
        <v>240</v>
      </c>
      <c r="O295" s="5">
        <v>0.8</v>
      </c>
      <c r="P295" s="5">
        <v>0</v>
      </c>
      <c r="Q295" s="5" t="s">
        <v>44</v>
      </c>
      <c r="R295" s="5">
        <v>0</v>
      </c>
      <c r="S295">
        <v>38.541666666666671</v>
      </c>
      <c r="T295">
        <v>35.416666666666671</v>
      </c>
      <c r="U295">
        <v>17.187499999999996</v>
      </c>
      <c r="V295">
        <v>8.8541666666666679</v>
      </c>
      <c r="W295" s="5">
        <v>13.75</v>
      </c>
      <c r="X295" s="5">
        <v>101.42857142857143</v>
      </c>
      <c r="Y295" s="5">
        <v>0.54670000000000007</v>
      </c>
      <c r="Z295" s="5">
        <v>175.72500000000002</v>
      </c>
      <c r="AA295" s="5">
        <v>60.917721518987342</v>
      </c>
      <c r="AB295" s="5">
        <v>37.167848083524028</v>
      </c>
    </row>
    <row r="296" spans="1:28" x14ac:dyDescent="0.2">
      <c r="A296" s="3">
        <v>295</v>
      </c>
      <c r="B296" s="4" t="s">
        <v>66</v>
      </c>
      <c r="C296" s="5">
        <v>16.058000000000003</v>
      </c>
      <c r="D296" s="5">
        <v>36.172798425196852</v>
      </c>
      <c r="E296" s="5">
        <v>4.5865031496062993</v>
      </c>
      <c r="F296" s="5">
        <v>0.17307559055118113</v>
      </c>
      <c r="G296" s="5">
        <v>0</v>
      </c>
      <c r="H296" s="5">
        <v>45.605418110236229</v>
      </c>
      <c r="I296" s="5">
        <v>2.3622047244094491</v>
      </c>
      <c r="J296" s="5">
        <v>11.1</v>
      </c>
      <c r="K296" s="5">
        <v>83.689538807649058</v>
      </c>
      <c r="L296" s="5">
        <v>13.948256467941508</v>
      </c>
      <c r="M296" s="5">
        <v>780</v>
      </c>
      <c r="N296" s="5">
        <v>240</v>
      </c>
      <c r="O296" s="5">
        <v>0.8</v>
      </c>
      <c r="P296" s="5">
        <v>0</v>
      </c>
      <c r="Q296" s="5" t="s">
        <v>44</v>
      </c>
      <c r="R296" s="5">
        <v>0</v>
      </c>
      <c r="S296">
        <v>52.820512820512825</v>
      </c>
      <c r="T296">
        <v>22.564102564102566</v>
      </c>
      <c r="U296">
        <v>17.435897435897434</v>
      </c>
      <c r="V296">
        <v>7.1794871794871788</v>
      </c>
      <c r="W296" s="5">
        <v>12.55</v>
      </c>
      <c r="X296" s="5">
        <v>32.173913043478265</v>
      </c>
      <c r="Y296" s="5">
        <v>0.99820000000000009</v>
      </c>
      <c r="Z296" s="5">
        <v>173.60000000000002</v>
      </c>
      <c r="AA296" s="5">
        <v>78.013513513513516</v>
      </c>
      <c r="AB296" s="5">
        <v>55.827132416267936</v>
      </c>
    </row>
    <row r="297" spans="1:28" x14ac:dyDescent="0.2">
      <c r="A297" s="3">
        <v>296</v>
      </c>
      <c r="B297" s="4" t="s">
        <v>66</v>
      </c>
      <c r="C297" s="5">
        <v>16.058000000000003</v>
      </c>
      <c r="D297" s="5">
        <v>36.172798425196852</v>
      </c>
      <c r="E297" s="5">
        <v>4.5865031496062993</v>
      </c>
      <c r="F297" s="5">
        <v>0.17307559055118113</v>
      </c>
      <c r="G297" s="5">
        <v>0</v>
      </c>
      <c r="H297" s="5">
        <v>45.605418110236229</v>
      </c>
      <c r="I297" s="5">
        <v>2.3622047244094491</v>
      </c>
      <c r="J297" s="5">
        <v>11.1</v>
      </c>
      <c r="K297" s="5">
        <v>83.689538807649058</v>
      </c>
      <c r="L297" s="5">
        <v>13.948256467941508</v>
      </c>
      <c r="M297" s="5">
        <v>750</v>
      </c>
      <c r="N297" s="5">
        <v>240</v>
      </c>
      <c r="O297" s="5">
        <v>0.8</v>
      </c>
      <c r="P297" s="5">
        <v>0</v>
      </c>
      <c r="Q297" s="5" t="s">
        <v>44</v>
      </c>
      <c r="R297" s="5">
        <v>0</v>
      </c>
      <c r="S297">
        <v>52.820512820512825</v>
      </c>
      <c r="T297">
        <v>22.564102564102562</v>
      </c>
      <c r="U297">
        <v>18.46153846153846</v>
      </c>
      <c r="V297">
        <v>6.1538461538461533</v>
      </c>
      <c r="W297" s="5">
        <v>12.6</v>
      </c>
      <c r="X297" s="5">
        <v>48.514851485148512</v>
      </c>
      <c r="Y297" s="5">
        <v>0.87668000000000013</v>
      </c>
      <c r="Z297" s="5">
        <v>190.96000000000004</v>
      </c>
      <c r="AA297" s="5">
        <v>68.789189189189187</v>
      </c>
      <c r="AB297" s="5">
        <v>49.129884258373217</v>
      </c>
    </row>
    <row r="298" spans="1:28" x14ac:dyDescent="0.2">
      <c r="A298" s="3">
        <v>297</v>
      </c>
      <c r="B298" s="4" t="s">
        <v>66</v>
      </c>
      <c r="C298" s="5">
        <v>16.058000000000003</v>
      </c>
      <c r="D298" s="5">
        <v>36.172798425196852</v>
      </c>
      <c r="E298" s="5">
        <v>4.5865031496062993</v>
      </c>
      <c r="F298" s="5">
        <v>0.17307559055118113</v>
      </c>
      <c r="G298" s="5">
        <v>0</v>
      </c>
      <c r="H298" s="5">
        <v>45.605418110236229</v>
      </c>
      <c r="I298" s="5">
        <v>2.3622047244094491</v>
      </c>
      <c r="J298" s="5">
        <v>11.1</v>
      </c>
      <c r="K298" s="5">
        <v>83.689538807649058</v>
      </c>
      <c r="L298" s="5">
        <v>13.948256467941508</v>
      </c>
      <c r="M298" s="5">
        <v>700</v>
      </c>
      <c r="N298" s="5">
        <v>240</v>
      </c>
      <c r="O298" s="5">
        <v>0.8</v>
      </c>
      <c r="P298" s="5">
        <v>0</v>
      </c>
      <c r="Q298" s="5" t="s">
        <v>44</v>
      </c>
      <c r="R298" s="5">
        <v>0</v>
      </c>
      <c r="S298">
        <v>47.916666666666671</v>
      </c>
      <c r="T298">
        <v>20.833333333333336</v>
      </c>
      <c r="U298">
        <v>21.875</v>
      </c>
      <c r="V298">
        <v>9.375</v>
      </c>
      <c r="W298" s="5">
        <v>13</v>
      </c>
      <c r="X298" s="5">
        <v>73.749999999999986</v>
      </c>
      <c r="Y298" s="5">
        <v>0.69440000000000013</v>
      </c>
      <c r="Z298" s="5">
        <v>195.3</v>
      </c>
      <c r="AA298" s="5">
        <v>56.216216216216218</v>
      </c>
      <c r="AB298" s="5">
        <v>42.438436363636377</v>
      </c>
    </row>
    <row r="299" spans="1:28" x14ac:dyDescent="0.2">
      <c r="A299" s="3">
        <v>298</v>
      </c>
      <c r="B299" s="4" t="s">
        <v>66</v>
      </c>
      <c r="C299" s="5">
        <v>16.058000000000003</v>
      </c>
      <c r="D299" s="5">
        <v>36.172798425196852</v>
      </c>
      <c r="E299" s="5">
        <v>4.5865031496062993</v>
      </c>
      <c r="F299" s="5">
        <v>0.17307559055118113</v>
      </c>
      <c r="G299" s="5">
        <v>0</v>
      </c>
      <c r="H299" s="5">
        <v>45.605418110236229</v>
      </c>
      <c r="I299" s="5">
        <v>2.3622047244094491</v>
      </c>
      <c r="J299" s="5">
        <v>11.1</v>
      </c>
      <c r="K299" s="5">
        <v>83.689538807649058</v>
      </c>
      <c r="L299" s="5">
        <v>13.948256467941508</v>
      </c>
      <c r="M299" s="5">
        <v>650</v>
      </c>
      <c r="N299" s="5">
        <v>240</v>
      </c>
      <c r="O299" s="5">
        <v>0.8</v>
      </c>
      <c r="P299" s="5">
        <v>0</v>
      </c>
      <c r="Q299" s="5" t="s">
        <v>44</v>
      </c>
      <c r="R299" s="5">
        <v>0</v>
      </c>
      <c r="S299">
        <v>40.211640211640216</v>
      </c>
      <c r="T299">
        <v>29.100529100529105</v>
      </c>
      <c r="U299">
        <v>21.164021164021168</v>
      </c>
      <c r="V299">
        <v>9.5238095238095255</v>
      </c>
      <c r="W299" s="5">
        <v>13.3</v>
      </c>
      <c r="X299" s="5">
        <v>103.03030303030303</v>
      </c>
      <c r="Y299" s="5">
        <v>0.57288000000000006</v>
      </c>
      <c r="Z299" s="5">
        <v>203.98000000000002</v>
      </c>
      <c r="AA299" s="5">
        <v>47.44864864864865</v>
      </c>
      <c r="AB299" s="5">
        <v>39.293625789473687</v>
      </c>
    </row>
    <row r="300" spans="1:28" x14ac:dyDescent="0.2">
      <c r="A300" s="3">
        <v>299</v>
      </c>
      <c r="B300" s="4" t="s">
        <v>67</v>
      </c>
      <c r="C300" s="5">
        <v>12.300400000000002</v>
      </c>
      <c r="D300" s="5">
        <v>30.554666666666666</v>
      </c>
      <c r="E300" s="5">
        <v>4.1188888888888888</v>
      </c>
      <c r="F300" s="5">
        <v>0.22466666666666668</v>
      </c>
      <c r="G300" s="5">
        <v>0</v>
      </c>
      <c r="H300" s="5">
        <v>39.990666666666677</v>
      </c>
      <c r="I300" s="5">
        <v>15.111111111111111</v>
      </c>
      <c r="J300" s="5">
        <v>10</v>
      </c>
      <c r="K300" s="5">
        <v>67.444444444444457</v>
      </c>
      <c r="L300" s="5">
        <v>17.444444444444443</v>
      </c>
      <c r="M300" s="5">
        <v>780</v>
      </c>
      <c r="N300" s="5">
        <v>240</v>
      </c>
      <c r="O300" s="5">
        <v>0.8</v>
      </c>
      <c r="P300" s="5">
        <v>0</v>
      </c>
      <c r="Q300" s="5" t="s">
        <v>44</v>
      </c>
      <c r="R300" s="5">
        <v>0</v>
      </c>
      <c r="S300">
        <v>52.020202020202014</v>
      </c>
      <c r="T300">
        <v>22.222222222222218</v>
      </c>
      <c r="U300">
        <v>18.686868686868685</v>
      </c>
      <c r="V300">
        <v>7.0707070707070692</v>
      </c>
      <c r="W300" s="5">
        <v>11.7</v>
      </c>
      <c r="X300" s="5">
        <v>35.714285714285715</v>
      </c>
      <c r="Y300" s="5">
        <v>0.85568000000000011</v>
      </c>
      <c r="Z300" s="5">
        <v>137.52000000000001</v>
      </c>
      <c r="AA300" s="5">
        <v>81.391304347826079</v>
      </c>
      <c r="AB300" s="5">
        <v>50.728027058823528</v>
      </c>
    </row>
    <row r="301" spans="1:28" x14ac:dyDescent="0.2">
      <c r="A301" s="3">
        <v>300</v>
      </c>
      <c r="B301" s="4" t="s">
        <v>67</v>
      </c>
      <c r="C301" s="5">
        <v>12.300400000000002</v>
      </c>
      <c r="D301" s="5">
        <v>30.554666666666666</v>
      </c>
      <c r="E301" s="5">
        <v>4.1188888888888888</v>
      </c>
      <c r="F301" s="5">
        <v>0.22466666666666668</v>
      </c>
      <c r="G301" s="5">
        <v>0</v>
      </c>
      <c r="H301" s="5">
        <v>39.990666666666677</v>
      </c>
      <c r="I301" s="5">
        <v>15.111111111111111</v>
      </c>
      <c r="J301" s="5">
        <v>10</v>
      </c>
      <c r="K301" s="5">
        <v>67.444444444444457</v>
      </c>
      <c r="L301" s="5">
        <v>17.444444444444443</v>
      </c>
      <c r="M301" s="5">
        <v>750</v>
      </c>
      <c r="N301" s="5">
        <v>240</v>
      </c>
      <c r="O301" s="5">
        <v>0.8</v>
      </c>
      <c r="P301" s="5">
        <v>0</v>
      </c>
      <c r="Q301" s="5" t="s">
        <v>44</v>
      </c>
      <c r="R301" s="5">
        <v>0</v>
      </c>
      <c r="S301">
        <v>55.497382198952884</v>
      </c>
      <c r="T301">
        <v>18.848167539267017</v>
      </c>
      <c r="U301">
        <v>19.3717277486911</v>
      </c>
      <c r="V301">
        <v>6.2827225130890048</v>
      </c>
      <c r="W301" s="5">
        <v>12.1</v>
      </c>
      <c r="X301" s="5">
        <v>44.660194174757272</v>
      </c>
      <c r="Y301" s="5">
        <v>0.78692000000000006</v>
      </c>
      <c r="Z301" s="5">
        <v>145.16</v>
      </c>
      <c r="AA301" s="5">
        <v>77.409937888198741</v>
      </c>
      <c r="AB301" s="5">
        <v>41.932007584033606</v>
      </c>
    </row>
    <row r="302" spans="1:28" x14ac:dyDescent="0.2">
      <c r="A302" s="3">
        <v>301</v>
      </c>
      <c r="B302" s="4" t="s">
        <v>67</v>
      </c>
      <c r="C302" s="5">
        <v>12.300400000000002</v>
      </c>
      <c r="D302" s="5">
        <v>30.554666666666666</v>
      </c>
      <c r="E302" s="5">
        <v>4.1188888888888888</v>
      </c>
      <c r="F302" s="5">
        <v>0.22466666666666668</v>
      </c>
      <c r="G302" s="5">
        <v>0</v>
      </c>
      <c r="H302" s="5">
        <v>39.990666666666677</v>
      </c>
      <c r="I302" s="5">
        <v>15.111111111111111</v>
      </c>
      <c r="J302" s="5">
        <v>10</v>
      </c>
      <c r="K302" s="5">
        <v>67.444444444444457</v>
      </c>
      <c r="L302" s="5">
        <v>17.444444444444443</v>
      </c>
      <c r="M302" s="5">
        <v>700</v>
      </c>
      <c r="N302" s="5">
        <v>240</v>
      </c>
      <c r="O302" s="5">
        <v>0.8</v>
      </c>
      <c r="P302" s="5">
        <v>0</v>
      </c>
      <c r="Q302" s="5" t="s">
        <v>44</v>
      </c>
      <c r="R302" s="5">
        <v>0</v>
      </c>
      <c r="S302">
        <v>54.358974358974358</v>
      </c>
      <c r="T302">
        <v>17.948717948717949</v>
      </c>
      <c r="U302">
        <v>18.461538461538463</v>
      </c>
      <c r="V302">
        <v>9.2307692307692317</v>
      </c>
      <c r="W302" s="5">
        <v>12.4</v>
      </c>
      <c r="X302" s="5">
        <v>68.35443037974683</v>
      </c>
      <c r="Y302" s="5">
        <v>0.60355999999999999</v>
      </c>
      <c r="Z302" s="5">
        <v>164.26</v>
      </c>
      <c r="AA302" s="5">
        <v>60.844720496894404</v>
      </c>
      <c r="AB302" s="5">
        <v>33.587448308823532</v>
      </c>
    </row>
    <row r="303" spans="1:28" x14ac:dyDescent="0.2">
      <c r="A303" s="3">
        <v>302</v>
      </c>
      <c r="B303" s="4" t="s">
        <v>67</v>
      </c>
      <c r="C303" s="5">
        <v>12.300400000000002</v>
      </c>
      <c r="D303" s="5">
        <v>30.554666666666666</v>
      </c>
      <c r="E303" s="5">
        <v>4.1188888888888888</v>
      </c>
      <c r="F303" s="5">
        <v>0.22466666666666668</v>
      </c>
      <c r="G303" s="5">
        <v>0</v>
      </c>
      <c r="H303" s="5">
        <v>39.990666666666677</v>
      </c>
      <c r="I303" s="5">
        <v>15.111111111111111</v>
      </c>
      <c r="J303" s="5">
        <v>10</v>
      </c>
      <c r="K303" s="5">
        <v>67.444444444444457</v>
      </c>
      <c r="L303" s="5">
        <v>17.444444444444443</v>
      </c>
      <c r="M303" s="5">
        <v>650</v>
      </c>
      <c r="N303" s="5">
        <v>240</v>
      </c>
      <c r="O303" s="5">
        <v>0.8</v>
      </c>
      <c r="P303" s="5">
        <v>0</v>
      </c>
      <c r="Q303" s="5" t="s">
        <v>44</v>
      </c>
      <c r="R303" s="5">
        <v>0</v>
      </c>
      <c r="S303">
        <v>43.005181347150256</v>
      </c>
      <c r="T303">
        <v>25.388601036269431</v>
      </c>
      <c r="U303">
        <v>22.279792746113987</v>
      </c>
      <c r="V303">
        <v>9.3264248704663206</v>
      </c>
      <c r="W303" s="5">
        <v>13.1</v>
      </c>
      <c r="X303" s="5">
        <v>86.301369863013704</v>
      </c>
      <c r="Y303" s="5">
        <v>0.55771999999999999</v>
      </c>
      <c r="Z303" s="5">
        <v>221.56</v>
      </c>
      <c r="AA303" s="5">
        <v>59.397515527950304</v>
      </c>
      <c r="AB303" s="5">
        <v>38.295064632352947</v>
      </c>
    </row>
    <row r="304" spans="1:28" x14ac:dyDescent="0.2">
      <c r="A304" s="3">
        <v>303</v>
      </c>
      <c r="B304" s="4" t="s">
        <v>68</v>
      </c>
      <c r="C304" s="5">
        <v>18.536578216639999</v>
      </c>
      <c r="D304" s="5">
        <v>47.562077168754598</v>
      </c>
      <c r="E304" s="5">
        <v>6.3592749417833447</v>
      </c>
      <c r="F304" s="5">
        <v>0.15141130813769871</v>
      </c>
      <c r="G304" s="5">
        <v>0.18926413517212337</v>
      </c>
      <c r="H304" s="5">
        <v>40.370040032213915</v>
      </c>
      <c r="I304" s="5">
        <v>0.35793241393830938</v>
      </c>
      <c r="J304" s="5">
        <v>5.01</v>
      </c>
      <c r="K304" s="5">
        <v>81.808611432782399</v>
      </c>
      <c r="L304" s="5">
        <v>17.833456153279297</v>
      </c>
      <c r="M304" s="5">
        <v>700</v>
      </c>
      <c r="N304" s="5">
        <v>40</v>
      </c>
      <c r="O304" s="5">
        <v>1</v>
      </c>
      <c r="P304" s="5">
        <v>0</v>
      </c>
      <c r="Q304" s="5" t="s">
        <v>44</v>
      </c>
      <c r="R304" s="5">
        <v>0</v>
      </c>
      <c r="S304">
        <v>51</v>
      </c>
      <c r="T304">
        <v>19</v>
      </c>
      <c r="U304">
        <v>17</v>
      </c>
      <c r="V304">
        <v>13</v>
      </c>
      <c r="W304" s="5">
        <v>10.83</v>
      </c>
      <c r="X304" s="5">
        <v>17.5</v>
      </c>
      <c r="Y304" s="5">
        <v>1.32</v>
      </c>
      <c r="Z304" s="6"/>
      <c r="AA304" s="5">
        <v>77.121029744136166</v>
      </c>
      <c r="AB304" s="5">
        <v>65.31349269512819</v>
      </c>
    </row>
    <row r="305" spans="1:28" x14ac:dyDescent="0.2">
      <c r="A305" s="3">
        <v>304</v>
      </c>
      <c r="B305" s="4" t="s">
        <v>68</v>
      </c>
      <c r="C305" s="5">
        <v>18.536578216639999</v>
      </c>
      <c r="D305" s="5">
        <v>47.562077168754598</v>
      </c>
      <c r="E305" s="5">
        <v>6.3592749417833447</v>
      </c>
      <c r="F305" s="5">
        <v>0.15141130813769871</v>
      </c>
      <c r="G305" s="5">
        <v>0.18926413517212337</v>
      </c>
      <c r="H305" s="5">
        <v>40.370040032213915</v>
      </c>
      <c r="I305" s="5">
        <v>0.35793241393830938</v>
      </c>
      <c r="J305" s="5">
        <v>5.01</v>
      </c>
      <c r="K305" s="5">
        <v>81.808611432782399</v>
      </c>
      <c r="L305" s="5">
        <v>17.833456153279297</v>
      </c>
      <c r="M305" s="5">
        <v>800</v>
      </c>
      <c r="N305" s="5">
        <v>40</v>
      </c>
      <c r="O305" s="5">
        <v>1</v>
      </c>
      <c r="P305" s="5">
        <v>0</v>
      </c>
      <c r="Q305" s="5" t="s">
        <v>44</v>
      </c>
      <c r="R305" s="16">
        <v>0</v>
      </c>
      <c r="S305">
        <v>100</v>
      </c>
      <c r="T305">
        <v>0</v>
      </c>
      <c r="U305">
        <v>0</v>
      </c>
      <c r="V305">
        <v>0</v>
      </c>
      <c r="W305" s="16">
        <v>13.45</v>
      </c>
      <c r="X305" s="16">
        <v>15.5</v>
      </c>
      <c r="Y305" s="16">
        <v>1.55</v>
      </c>
      <c r="Z305" s="16"/>
      <c r="AA305" s="16">
        <v>112.46681969213456</v>
      </c>
      <c r="AB305" s="16"/>
    </row>
    <row r="306" spans="1:28" x14ac:dyDescent="0.2">
      <c r="A306" s="3">
        <v>305</v>
      </c>
      <c r="B306" s="4" t="s">
        <v>68</v>
      </c>
      <c r="C306" s="5">
        <v>18.536578216639999</v>
      </c>
      <c r="D306" s="5">
        <v>47.562077168754598</v>
      </c>
      <c r="E306" s="5">
        <v>6.3592749417833447</v>
      </c>
      <c r="F306" s="5">
        <v>0.15141130813769871</v>
      </c>
      <c r="G306" s="5">
        <v>0.18926413517212337</v>
      </c>
      <c r="H306" s="5">
        <v>40.370040032213915</v>
      </c>
      <c r="I306" s="5">
        <v>0.35793241393830938</v>
      </c>
      <c r="J306" s="5">
        <v>5.01</v>
      </c>
      <c r="K306" s="5">
        <v>81.808611432782399</v>
      </c>
      <c r="L306" s="5">
        <v>17.833456153279297</v>
      </c>
      <c r="M306" s="5">
        <v>900</v>
      </c>
      <c r="N306" s="5">
        <v>40</v>
      </c>
      <c r="O306" s="5">
        <v>1</v>
      </c>
      <c r="P306" s="5">
        <v>0</v>
      </c>
      <c r="Q306" s="5" t="s">
        <v>44</v>
      </c>
      <c r="R306" s="16">
        <v>0</v>
      </c>
      <c r="S306">
        <v>100</v>
      </c>
      <c r="T306">
        <v>0</v>
      </c>
      <c r="U306">
        <v>0</v>
      </c>
      <c r="V306">
        <v>0</v>
      </c>
      <c r="W306" s="16">
        <v>13.72</v>
      </c>
      <c r="X306" s="16">
        <v>12.5</v>
      </c>
      <c r="Y306" s="16">
        <v>1.66</v>
      </c>
      <c r="Z306" s="16"/>
      <c r="AA306" s="16">
        <v>122.86625791352935</v>
      </c>
      <c r="AB306" s="16"/>
    </row>
    <row r="307" spans="1:28" x14ac:dyDescent="0.2">
      <c r="A307" s="3">
        <v>306</v>
      </c>
      <c r="B307" s="4" t="s">
        <v>68</v>
      </c>
      <c r="C307" s="5">
        <v>18.536578216639999</v>
      </c>
      <c r="D307" s="5">
        <v>47.562077168754598</v>
      </c>
      <c r="E307" s="5">
        <v>6.3592749417833447</v>
      </c>
      <c r="F307" s="5">
        <v>0.15141130813769871</v>
      </c>
      <c r="G307" s="5">
        <v>0.18926413517212337</v>
      </c>
      <c r="H307" s="5">
        <v>40.370040032213915</v>
      </c>
      <c r="I307" s="5">
        <v>0.35793241393830938</v>
      </c>
      <c r="J307" s="5">
        <v>5.01</v>
      </c>
      <c r="K307" s="5">
        <v>81.808611432782399</v>
      </c>
      <c r="L307" s="5">
        <v>17.833456153279297</v>
      </c>
      <c r="M307" s="5">
        <v>900</v>
      </c>
      <c r="N307" s="5">
        <v>40</v>
      </c>
      <c r="O307" s="5">
        <v>0.5</v>
      </c>
      <c r="P307" s="5">
        <v>0</v>
      </c>
      <c r="Q307" s="5" t="s">
        <v>44</v>
      </c>
      <c r="R307" s="16">
        <v>0</v>
      </c>
      <c r="S307">
        <v>100</v>
      </c>
      <c r="T307">
        <v>0</v>
      </c>
      <c r="U307">
        <v>0</v>
      </c>
      <c r="V307">
        <v>0</v>
      </c>
      <c r="W307" s="16">
        <v>13.12</v>
      </c>
      <c r="X307" s="16">
        <v>15</v>
      </c>
      <c r="Y307" s="16">
        <v>1.36</v>
      </c>
      <c r="Z307" s="16"/>
      <c r="AA307" s="16">
        <v>96.259405546501753</v>
      </c>
      <c r="AB307" s="16"/>
    </row>
    <row r="308" spans="1:28" x14ac:dyDescent="0.2">
      <c r="A308" s="3">
        <v>307</v>
      </c>
      <c r="B308" s="4" t="s">
        <v>48</v>
      </c>
      <c r="C308" s="5">
        <v>18.600000000000001</v>
      </c>
      <c r="D308" s="5">
        <v>46.972956521739128</v>
      </c>
      <c r="E308" s="5">
        <v>5.3199391304347827</v>
      </c>
      <c r="F308" s="5">
        <v>0.18313043478260871</v>
      </c>
      <c r="G308" s="5">
        <v>9.1565217391304354E-2</v>
      </c>
      <c r="H308" s="5">
        <v>39.006782608695659</v>
      </c>
      <c r="I308" s="5">
        <v>0.43478260869565216</v>
      </c>
      <c r="J308" s="5">
        <v>8</v>
      </c>
      <c r="K308" s="5">
        <v>84.130434782608702</v>
      </c>
      <c r="L308" s="5">
        <v>15.434782608695651</v>
      </c>
      <c r="M308" s="5">
        <v>700</v>
      </c>
      <c r="N308" s="5"/>
      <c r="O308" s="7"/>
      <c r="P308" s="7"/>
      <c r="Q308" s="5" t="s">
        <v>44</v>
      </c>
      <c r="R308" s="5">
        <v>0</v>
      </c>
      <c r="S308">
        <v>23.560209424083769</v>
      </c>
      <c r="T308">
        <v>42.408376963350783</v>
      </c>
      <c r="U308">
        <v>19.3717277486911</v>
      </c>
      <c r="V308">
        <v>14.659685863874344</v>
      </c>
      <c r="W308" s="5">
        <v>12.56616</v>
      </c>
      <c r="X308" s="5">
        <v>12.7</v>
      </c>
      <c r="Y308" s="5">
        <v>0.49463999999999997</v>
      </c>
      <c r="Z308" s="6"/>
      <c r="AA308" s="5">
        <v>33.417878399999999</v>
      </c>
      <c r="AB308" s="5">
        <v>35.363040902255634</v>
      </c>
    </row>
    <row r="309" spans="1:28" x14ac:dyDescent="0.2">
      <c r="A309" s="3">
        <v>308</v>
      </c>
      <c r="B309" s="4" t="s">
        <v>48</v>
      </c>
      <c r="C309" s="5">
        <v>18.600000000000001</v>
      </c>
      <c r="D309" s="5">
        <v>46.972956521739128</v>
      </c>
      <c r="E309" s="5">
        <v>5.3199391304347827</v>
      </c>
      <c r="F309" s="5">
        <v>0.18313043478260871</v>
      </c>
      <c r="G309" s="5">
        <v>9.1565217391304354E-2</v>
      </c>
      <c r="H309" s="5">
        <v>39.006782608695659</v>
      </c>
      <c r="I309" s="5">
        <v>0.43478260869565216</v>
      </c>
      <c r="J309" s="5">
        <v>8</v>
      </c>
      <c r="K309" s="5">
        <v>84.130434782608702</v>
      </c>
      <c r="L309" s="5">
        <v>15.434782608695651</v>
      </c>
      <c r="M309" s="5">
        <v>750</v>
      </c>
      <c r="N309" s="5"/>
      <c r="O309" s="7"/>
      <c r="P309" s="7"/>
      <c r="Q309" s="5" t="s">
        <v>44</v>
      </c>
      <c r="R309" s="5">
        <v>0</v>
      </c>
      <c r="S309">
        <v>26.315789473684216</v>
      </c>
      <c r="T309">
        <v>42.10526315789474</v>
      </c>
      <c r="U309">
        <v>16.842105263157897</v>
      </c>
      <c r="V309">
        <v>14.736842105263156</v>
      </c>
      <c r="W309" s="5">
        <v>12.77257</v>
      </c>
      <c r="X309" s="5">
        <v>11.9</v>
      </c>
      <c r="Y309" s="5">
        <v>0.51295999999999997</v>
      </c>
      <c r="Z309" s="6"/>
      <c r="AA309" s="5">
        <v>35.224825307526878</v>
      </c>
      <c r="AB309" s="5">
        <v>35.078621754385956</v>
      </c>
    </row>
    <row r="310" spans="1:28" x14ac:dyDescent="0.2">
      <c r="A310" s="3">
        <v>309</v>
      </c>
      <c r="B310" s="4" t="s">
        <v>48</v>
      </c>
      <c r="C310" s="5">
        <v>18.600000000000001</v>
      </c>
      <c r="D310" s="5">
        <v>46.972956521739128</v>
      </c>
      <c r="E310" s="5">
        <v>5.3199391304347827</v>
      </c>
      <c r="F310" s="5">
        <v>0.18313043478260871</v>
      </c>
      <c r="G310" s="5">
        <v>9.1565217391304354E-2</v>
      </c>
      <c r="H310" s="5">
        <v>39.006782608695659</v>
      </c>
      <c r="I310" s="5">
        <v>0.43478260869565216</v>
      </c>
      <c r="J310" s="5">
        <v>8</v>
      </c>
      <c r="K310" s="5">
        <v>84.130434782608702</v>
      </c>
      <c r="L310" s="5">
        <v>15.434782608695651</v>
      </c>
      <c r="M310" s="5">
        <v>800</v>
      </c>
      <c r="N310" s="5"/>
      <c r="O310" s="7"/>
      <c r="P310" s="7"/>
      <c r="Q310" s="5" t="s">
        <v>44</v>
      </c>
      <c r="R310" s="5">
        <v>0</v>
      </c>
      <c r="S310">
        <v>26.984126984126984</v>
      </c>
      <c r="T310">
        <v>44.973544973544968</v>
      </c>
      <c r="U310">
        <v>13.756613756613756</v>
      </c>
      <c r="V310">
        <v>14.285714285714285</v>
      </c>
      <c r="W310" s="5">
        <v>12.962894999999998</v>
      </c>
      <c r="X310" s="5">
        <v>10.4</v>
      </c>
      <c r="Y310" s="5">
        <v>0.58898799999999996</v>
      </c>
      <c r="Z310" s="6"/>
      <c r="AA310" s="5">
        <v>41.048331184193536</v>
      </c>
      <c r="AB310" s="5">
        <v>39.537295660400993</v>
      </c>
    </row>
    <row r="311" spans="1:28" x14ac:dyDescent="0.2">
      <c r="A311" s="3">
        <v>310</v>
      </c>
      <c r="B311" s="4" t="s">
        <v>69</v>
      </c>
      <c r="C311" s="5">
        <v>16.282784999999997</v>
      </c>
      <c r="D311" s="5">
        <v>44.677500000000002</v>
      </c>
      <c r="E311" s="5">
        <v>5.0875000000000004</v>
      </c>
      <c r="F311" s="5">
        <v>0.55500000000000005</v>
      </c>
      <c r="G311" s="5">
        <v>9.2500000000000013E-3</v>
      </c>
      <c r="H311" s="5">
        <v>35.2425</v>
      </c>
      <c r="I311" s="5">
        <v>7.5</v>
      </c>
      <c r="J311" s="5">
        <v>0</v>
      </c>
      <c r="K311" s="5">
        <v>71</v>
      </c>
      <c r="L311" s="5">
        <v>21.5</v>
      </c>
      <c r="M311" s="5">
        <v>850</v>
      </c>
      <c r="N311" s="5">
        <v>6</v>
      </c>
      <c r="O311" s="5">
        <v>0.6</v>
      </c>
      <c r="P311" s="5">
        <v>0</v>
      </c>
      <c r="Q311" s="5" t="s">
        <v>44</v>
      </c>
      <c r="R311" s="5">
        <v>0</v>
      </c>
      <c r="S311">
        <v>41.056910569105689</v>
      </c>
      <c r="T311">
        <v>24.491869918699191</v>
      </c>
      <c r="U311">
        <v>22.052845528455286</v>
      </c>
      <c r="V311">
        <v>12.398373983739837</v>
      </c>
      <c r="W311" s="6">
        <v>12.789380000000001</v>
      </c>
      <c r="X311" s="6"/>
      <c r="Y311" s="5">
        <v>0.74441788851883106</v>
      </c>
      <c r="Z311" s="5">
        <v>219</v>
      </c>
      <c r="AA311" s="5">
        <v>58.470607178470814</v>
      </c>
      <c r="AB311" s="5">
        <v>45.472869102402363</v>
      </c>
    </row>
    <row r="312" spans="1:28" x14ac:dyDescent="0.2">
      <c r="A312" s="3">
        <v>311</v>
      </c>
      <c r="B312" s="4" t="s">
        <v>69</v>
      </c>
      <c r="C312" s="5">
        <v>16.282784999999997</v>
      </c>
      <c r="D312" s="5">
        <v>44.677500000000002</v>
      </c>
      <c r="E312" s="5">
        <v>5.0875000000000004</v>
      </c>
      <c r="F312" s="5">
        <v>0.55500000000000005</v>
      </c>
      <c r="G312" s="5">
        <v>9.2500000000000013E-3</v>
      </c>
      <c r="H312" s="5">
        <v>35.2425</v>
      </c>
      <c r="I312" s="5">
        <v>7.5</v>
      </c>
      <c r="J312" s="5">
        <v>0</v>
      </c>
      <c r="K312" s="5">
        <v>71</v>
      </c>
      <c r="L312" s="5">
        <v>21.5</v>
      </c>
      <c r="M312" s="5">
        <v>850</v>
      </c>
      <c r="N312" s="5">
        <v>6</v>
      </c>
      <c r="O312" s="5">
        <v>0.7</v>
      </c>
      <c r="P312" s="5">
        <v>0</v>
      </c>
      <c r="Q312" s="5" t="s">
        <v>44</v>
      </c>
      <c r="R312" s="5">
        <v>0</v>
      </c>
      <c r="S312">
        <v>40.493319630010276</v>
      </c>
      <c r="T312">
        <v>24.152106885919835</v>
      </c>
      <c r="U312">
        <v>23.741007194244606</v>
      </c>
      <c r="V312">
        <v>11.613566289825282</v>
      </c>
      <c r="W312" s="6">
        <v>12.877375000000002</v>
      </c>
      <c r="X312" s="6"/>
      <c r="Y312" s="5">
        <v>0.71989446347165509</v>
      </c>
      <c r="Z312" s="5">
        <v>217</v>
      </c>
      <c r="AA312" s="5">
        <v>56.933448218767907</v>
      </c>
      <c r="AB312" s="5">
        <v>44.003740710884188</v>
      </c>
    </row>
    <row r="313" spans="1:28" x14ac:dyDescent="0.2">
      <c r="A313" s="3">
        <v>312</v>
      </c>
      <c r="B313" s="4" t="s">
        <v>69</v>
      </c>
      <c r="C313" s="5">
        <v>16.282784999999997</v>
      </c>
      <c r="D313" s="5">
        <v>44.677500000000002</v>
      </c>
      <c r="E313" s="5">
        <v>5.0875000000000004</v>
      </c>
      <c r="F313" s="5">
        <v>0.55500000000000005</v>
      </c>
      <c r="G313" s="5">
        <v>9.2500000000000013E-3</v>
      </c>
      <c r="H313" s="5">
        <v>35.2425</v>
      </c>
      <c r="I313" s="5">
        <v>7.5</v>
      </c>
      <c r="J313" s="5">
        <v>0</v>
      </c>
      <c r="K313" s="5">
        <v>71</v>
      </c>
      <c r="L313" s="5">
        <v>21.5</v>
      </c>
      <c r="M313" s="5">
        <v>850</v>
      </c>
      <c r="N313" s="5">
        <v>6</v>
      </c>
      <c r="O313" s="5">
        <v>1</v>
      </c>
      <c r="P313" s="5">
        <v>0</v>
      </c>
      <c r="Q313" s="5" t="s">
        <v>44</v>
      </c>
      <c r="R313" s="5">
        <v>0</v>
      </c>
      <c r="S313">
        <v>52.304609218436873</v>
      </c>
      <c r="T313">
        <v>22.14428857715431</v>
      </c>
      <c r="U313">
        <v>19.539078156312623</v>
      </c>
      <c r="V313">
        <v>6.0120240480961913</v>
      </c>
      <c r="W313" s="6">
        <v>10.692512999999998</v>
      </c>
      <c r="X313" s="6"/>
      <c r="Y313" s="5">
        <v>0.86276010359505939</v>
      </c>
      <c r="Z313" s="5">
        <v>212</v>
      </c>
      <c r="AA313" s="5">
        <v>56.655379430309495</v>
      </c>
      <c r="AB313" s="5">
        <v>43.377235465798627</v>
      </c>
    </row>
    <row r="314" spans="1:28" x14ac:dyDescent="0.2">
      <c r="A314" s="3">
        <v>313</v>
      </c>
      <c r="B314" s="4" t="s">
        <v>70</v>
      </c>
      <c r="C314" s="5">
        <v>22.19</v>
      </c>
      <c r="D314" s="5">
        <v>44.645539999999997</v>
      </c>
      <c r="E314" s="5">
        <v>5.3248599999999993</v>
      </c>
      <c r="F314" s="5">
        <v>13.086219999999997</v>
      </c>
      <c r="G314" s="5">
        <v>5.3602999999999996</v>
      </c>
      <c r="H314" s="5">
        <v>20.18308</v>
      </c>
      <c r="I314" s="5">
        <v>5.0999999999999996</v>
      </c>
      <c r="J314" s="5">
        <v>6.3</v>
      </c>
      <c r="K314" s="5">
        <v>83.5</v>
      </c>
      <c r="L314" s="5">
        <v>3.8</v>
      </c>
      <c r="M314" s="5">
        <v>700</v>
      </c>
      <c r="N314" s="5">
        <v>15</v>
      </c>
      <c r="O314" s="5">
        <v>0</v>
      </c>
      <c r="P314" s="5">
        <v>5.6000000000000001E-2</v>
      </c>
      <c r="Q314" s="5" t="s">
        <v>23</v>
      </c>
      <c r="R314" s="5">
        <v>0</v>
      </c>
      <c r="S314">
        <v>26.43</v>
      </c>
      <c r="T314">
        <v>18.539999999999996</v>
      </c>
      <c r="U314">
        <v>34.270000000000003</v>
      </c>
      <c r="V314">
        <v>20.759999999999998</v>
      </c>
      <c r="W314" s="5">
        <v>12.63</v>
      </c>
      <c r="X314" s="5">
        <v>22.206409254460816</v>
      </c>
      <c r="Y314" s="5">
        <v>0.59577394293687358</v>
      </c>
      <c r="Z314" s="5">
        <v>22.32</v>
      </c>
    </row>
    <row r="315" spans="1:28" x14ac:dyDescent="0.2">
      <c r="A315" s="3">
        <v>314</v>
      </c>
      <c r="B315" s="4" t="s">
        <v>70</v>
      </c>
      <c r="C315" s="5">
        <v>22.19</v>
      </c>
      <c r="D315" s="5">
        <v>44.645539999999997</v>
      </c>
      <c r="E315" s="5">
        <v>5.3248599999999993</v>
      </c>
      <c r="F315" s="5">
        <v>13.086219999999997</v>
      </c>
      <c r="G315" s="5">
        <v>5.3602999999999996</v>
      </c>
      <c r="H315" s="5">
        <v>20.18308</v>
      </c>
      <c r="I315" s="5">
        <v>5.0999999999999996</v>
      </c>
      <c r="J315" s="5">
        <v>6.3</v>
      </c>
      <c r="K315" s="5">
        <v>83.5</v>
      </c>
      <c r="L315" s="5">
        <v>3.8</v>
      </c>
      <c r="M315" s="5">
        <v>700</v>
      </c>
      <c r="N315" s="5">
        <v>40</v>
      </c>
      <c r="O315" s="5">
        <v>0</v>
      </c>
      <c r="P315" s="5">
        <v>0.14899999999999999</v>
      </c>
      <c r="Q315" s="5" t="s">
        <v>23</v>
      </c>
      <c r="R315" s="5">
        <v>0</v>
      </c>
      <c r="S315">
        <v>28.84</v>
      </c>
      <c r="T315">
        <v>17.829999999999998</v>
      </c>
      <c r="U315">
        <v>33.129999999999995</v>
      </c>
      <c r="V315">
        <v>20.200000000000006</v>
      </c>
      <c r="W315" s="5">
        <v>12.6</v>
      </c>
      <c r="X315" s="5">
        <v>19.772502486132048</v>
      </c>
      <c r="Y315" s="5">
        <v>0.63269684799757686</v>
      </c>
      <c r="Z315" s="5">
        <v>21.15</v>
      </c>
    </row>
    <row r="316" spans="1:28" x14ac:dyDescent="0.2">
      <c r="A316" s="3">
        <v>315</v>
      </c>
      <c r="B316" s="4" t="s">
        <v>70</v>
      </c>
      <c r="C316" s="5">
        <v>22.19</v>
      </c>
      <c r="D316" s="5">
        <v>44.645539999999997</v>
      </c>
      <c r="E316" s="5">
        <v>5.3248599999999993</v>
      </c>
      <c r="F316" s="5">
        <v>13.086219999999997</v>
      </c>
      <c r="G316" s="5">
        <v>5.3602999999999996</v>
      </c>
      <c r="H316" s="5">
        <v>20.18308</v>
      </c>
      <c r="I316" s="5">
        <v>5.0999999999999996</v>
      </c>
      <c r="J316" s="5">
        <v>6.3</v>
      </c>
      <c r="K316" s="5">
        <v>83.5</v>
      </c>
      <c r="L316" s="5">
        <v>3.8</v>
      </c>
      <c r="M316" s="5">
        <v>700</v>
      </c>
      <c r="N316" s="5">
        <v>15</v>
      </c>
      <c r="O316" s="5">
        <v>0</v>
      </c>
      <c r="P316" s="5">
        <v>0.06</v>
      </c>
      <c r="Q316" s="5" t="s">
        <v>23</v>
      </c>
      <c r="R316" s="5">
        <v>0</v>
      </c>
      <c r="S316">
        <v>28.559999999999995</v>
      </c>
      <c r="T316">
        <v>19.120000000000005</v>
      </c>
      <c r="U316">
        <v>31.210000000000004</v>
      </c>
      <c r="V316">
        <v>21.110000000000003</v>
      </c>
      <c r="W316" s="5">
        <v>13.06</v>
      </c>
      <c r="X316" s="5">
        <v>16.789158688065363</v>
      </c>
      <c r="Y316" s="5">
        <v>0.66352342049866453</v>
      </c>
      <c r="Z316" s="5">
        <v>20.32</v>
      </c>
    </row>
    <row r="317" spans="1:28" x14ac:dyDescent="0.2">
      <c r="A317" s="3">
        <v>316</v>
      </c>
      <c r="B317" s="4" t="s">
        <v>70</v>
      </c>
      <c r="C317" s="5">
        <v>22.19</v>
      </c>
      <c r="D317" s="5">
        <v>44.645539999999997</v>
      </c>
      <c r="E317" s="5">
        <v>5.3248599999999993</v>
      </c>
      <c r="F317" s="5">
        <v>13.086219999999997</v>
      </c>
      <c r="G317" s="5">
        <v>5.3602999999999996</v>
      </c>
      <c r="H317" s="5">
        <v>20.18308</v>
      </c>
      <c r="I317" s="5">
        <v>5.0999999999999996</v>
      </c>
      <c r="J317" s="5">
        <v>6.3</v>
      </c>
      <c r="K317" s="5">
        <v>83.5</v>
      </c>
      <c r="L317" s="5">
        <v>3.8</v>
      </c>
      <c r="M317" s="5">
        <v>700</v>
      </c>
      <c r="N317" s="5">
        <v>40</v>
      </c>
      <c r="O317" s="5">
        <v>0</v>
      </c>
      <c r="P317" s="5">
        <v>0.14899999999999999</v>
      </c>
      <c r="Q317" s="5" t="s">
        <v>23</v>
      </c>
      <c r="R317" s="5">
        <v>0</v>
      </c>
      <c r="S317">
        <v>32.26</v>
      </c>
      <c r="T317">
        <v>19.21</v>
      </c>
      <c r="U317">
        <v>28.32</v>
      </c>
      <c r="V317">
        <v>20.21</v>
      </c>
      <c r="W317" s="5">
        <v>13.14</v>
      </c>
      <c r="X317" s="5">
        <v>14.290733370905995</v>
      </c>
      <c r="Y317" s="5">
        <v>0.72424554649317041</v>
      </c>
      <c r="Z317" s="5">
        <v>19.12</v>
      </c>
    </row>
    <row r="318" spans="1:28" x14ac:dyDescent="0.2">
      <c r="A318" s="3">
        <v>317</v>
      </c>
      <c r="B318" s="4" t="s">
        <v>70</v>
      </c>
      <c r="C318" s="5">
        <v>22.19</v>
      </c>
      <c r="D318" s="5">
        <v>44.645539999999997</v>
      </c>
      <c r="E318" s="5">
        <v>5.3248599999999993</v>
      </c>
      <c r="F318" s="5">
        <v>13.086219999999997</v>
      </c>
      <c r="G318" s="5">
        <v>5.3602999999999996</v>
      </c>
      <c r="H318" s="5">
        <v>20.18308</v>
      </c>
      <c r="I318" s="5">
        <v>5.0999999999999996</v>
      </c>
      <c r="J318" s="5">
        <v>6.3</v>
      </c>
      <c r="K318" s="5">
        <v>83.5</v>
      </c>
      <c r="L318" s="5">
        <v>3.8</v>
      </c>
      <c r="M318" s="5">
        <v>900</v>
      </c>
      <c r="N318" s="5">
        <v>15</v>
      </c>
      <c r="O318" s="5">
        <v>0</v>
      </c>
      <c r="P318" s="5">
        <v>0.06</v>
      </c>
      <c r="Q318" s="5" t="s">
        <v>23</v>
      </c>
      <c r="R318" s="5">
        <v>0</v>
      </c>
      <c r="S318">
        <v>33.53</v>
      </c>
      <c r="T318">
        <v>15.58</v>
      </c>
      <c r="U318">
        <v>30.510000000000005</v>
      </c>
      <c r="V318">
        <v>20.38</v>
      </c>
      <c r="W318" s="5">
        <v>12.88</v>
      </c>
      <c r="X318" s="5">
        <v>13.609437446020808</v>
      </c>
      <c r="Y318" s="5">
        <v>0.75976689271776321</v>
      </c>
      <c r="Z318" s="5">
        <v>15.65</v>
      </c>
    </row>
    <row r="319" spans="1:28" x14ac:dyDescent="0.2">
      <c r="A319" s="3">
        <v>318</v>
      </c>
      <c r="B319" s="4" t="s">
        <v>70</v>
      </c>
      <c r="C319" s="5">
        <v>22.19</v>
      </c>
      <c r="D319" s="5">
        <v>44.645539999999997</v>
      </c>
      <c r="E319" s="5">
        <v>5.3248599999999993</v>
      </c>
      <c r="F319" s="5">
        <v>13.086219999999997</v>
      </c>
      <c r="G319" s="5">
        <v>5.3602999999999996</v>
      </c>
      <c r="H319" s="5">
        <v>20.18308</v>
      </c>
      <c r="I319" s="5">
        <v>5.0999999999999996</v>
      </c>
      <c r="J319" s="5">
        <v>6.3</v>
      </c>
      <c r="K319" s="5">
        <v>83.5</v>
      </c>
      <c r="L319" s="5">
        <v>3.8</v>
      </c>
      <c r="M319" s="5">
        <v>900</v>
      </c>
      <c r="N319" s="5">
        <v>40</v>
      </c>
      <c r="O319" s="5">
        <v>0</v>
      </c>
      <c r="P319" s="5">
        <v>0.14899999999999999</v>
      </c>
      <c r="Q319" s="5" t="s">
        <v>23</v>
      </c>
      <c r="R319" s="5">
        <v>0</v>
      </c>
      <c r="S319">
        <v>33.839999999999996</v>
      </c>
      <c r="T319">
        <v>13.779999999999998</v>
      </c>
      <c r="U319">
        <v>30.259999999999998</v>
      </c>
      <c r="V319">
        <v>22.119999999999997</v>
      </c>
      <c r="W319" s="5">
        <v>13.31</v>
      </c>
      <c r="X319" s="5">
        <v>12.419617558133405</v>
      </c>
      <c r="Y319" s="5">
        <v>0.79068457253492819</v>
      </c>
      <c r="Z319" s="5">
        <v>14.32</v>
      </c>
    </row>
    <row r="320" spans="1:28" x14ac:dyDescent="0.2">
      <c r="A320" s="3">
        <v>319</v>
      </c>
      <c r="B320" s="4" t="s">
        <v>70</v>
      </c>
      <c r="C320" s="5">
        <v>22.19</v>
      </c>
      <c r="D320" s="5">
        <v>44.645539999999997</v>
      </c>
      <c r="E320" s="5">
        <v>5.3248599999999993</v>
      </c>
      <c r="F320" s="5">
        <v>13.086219999999997</v>
      </c>
      <c r="G320" s="5">
        <v>5.3602999999999996</v>
      </c>
      <c r="H320" s="5">
        <v>20.18308</v>
      </c>
      <c r="I320" s="5">
        <v>5.0999999999999996</v>
      </c>
      <c r="J320" s="5">
        <v>6.3</v>
      </c>
      <c r="K320" s="5">
        <v>83.5</v>
      </c>
      <c r="L320" s="5">
        <v>3.8</v>
      </c>
      <c r="M320" s="5">
        <v>900</v>
      </c>
      <c r="N320" s="5">
        <v>15</v>
      </c>
      <c r="O320" s="5">
        <v>0</v>
      </c>
      <c r="P320" s="5">
        <v>0.06</v>
      </c>
      <c r="Q320" s="5" t="s">
        <v>23</v>
      </c>
      <c r="R320" s="5">
        <v>0</v>
      </c>
      <c r="S320">
        <v>39.799999999999997</v>
      </c>
      <c r="T320">
        <v>11.41</v>
      </c>
      <c r="U320">
        <v>30.329999999999995</v>
      </c>
      <c r="V320">
        <v>18.46</v>
      </c>
      <c r="W320" s="5">
        <v>12.35</v>
      </c>
      <c r="X320" s="5">
        <v>10.681517004703787</v>
      </c>
      <c r="Y320" s="5">
        <v>0.86410947021246265</v>
      </c>
      <c r="Z320" s="5">
        <v>12.11</v>
      </c>
    </row>
    <row r="321" spans="1:26" x14ac:dyDescent="0.2">
      <c r="A321" s="3">
        <v>320</v>
      </c>
      <c r="B321" s="4" t="s">
        <v>70</v>
      </c>
      <c r="C321" s="5">
        <v>22.19</v>
      </c>
      <c r="D321" s="5">
        <v>44.645539999999997</v>
      </c>
      <c r="E321" s="5">
        <v>5.3248599999999993</v>
      </c>
      <c r="F321" s="5">
        <v>13.086219999999997</v>
      </c>
      <c r="G321" s="5">
        <v>5.3602999999999996</v>
      </c>
      <c r="H321" s="5">
        <v>20.18308</v>
      </c>
      <c r="I321" s="5">
        <v>5.0999999999999996</v>
      </c>
      <c r="J321" s="5">
        <v>6.3</v>
      </c>
      <c r="K321" s="5">
        <v>83.5</v>
      </c>
      <c r="L321" s="5">
        <v>3.8</v>
      </c>
      <c r="M321" s="5">
        <v>900</v>
      </c>
      <c r="N321" s="5">
        <v>40</v>
      </c>
      <c r="O321" s="5">
        <v>0</v>
      </c>
      <c r="P321" s="5">
        <v>0.14899999999999999</v>
      </c>
      <c r="Q321" s="5" t="s">
        <v>23</v>
      </c>
      <c r="R321" s="5">
        <v>0</v>
      </c>
      <c r="S321">
        <v>42.88</v>
      </c>
      <c r="T321">
        <v>10.76</v>
      </c>
      <c r="U321">
        <v>30.879999999999995</v>
      </c>
      <c r="V321">
        <v>15.479999999999999</v>
      </c>
      <c r="W321" s="5">
        <v>11.53</v>
      </c>
      <c r="X321" s="5">
        <v>9.0258179219248706</v>
      </c>
      <c r="Y321" s="5">
        <v>0.91072078686991509</v>
      </c>
      <c r="Z321" s="5">
        <v>10.32</v>
      </c>
    </row>
    <row r="322" spans="1:26" x14ac:dyDescent="0.2">
      <c r="A322" s="3">
        <v>321</v>
      </c>
      <c r="B322" s="4" t="s">
        <v>70</v>
      </c>
      <c r="C322" s="5">
        <v>22.19</v>
      </c>
      <c r="D322" s="5">
        <v>44.645539999999997</v>
      </c>
      <c r="E322" s="5">
        <v>5.3248599999999993</v>
      </c>
      <c r="F322" s="5">
        <v>13.086219999999997</v>
      </c>
      <c r="G322" s="5">
        <v>5.3602999999999996</v>
      </c>
      <c r="H322" s="5">
        <v>20.18308</v>
      </c>
      <c r="I322" s="5">
        <v>5.0999999999999996</v>
      </c>
      <c r="J322" s="5">
        <v>6.3</v>
      </c>
      <c r="K322" s="5">
        <v>83.5</v>
      </c>
      <c r="L322" s="5">
        <v>3.8</v>
      </c>
      <c r="M322" s="5">
        <v>700</v>
      </c>
      <c r="N322" s="5">
        <v>30</v>
      </c>
      <c r="O322" s="5">
        <v>0</v>
      </c>
      <c r="P322" s="5">
        <v>0.112</v>
      </c>
      <c r="Q322" s="5" t="s">
        <v>23</v>
      </c>
      <c r="R322" s="5">
        <v>0</v>
      </c>
      <c r="S322">
        <v>38.75</v>
      </c>
      <c r="T322">
        <v>10.83</v>
      </c>
      <c r="U322">
        <v>26.88</v>
      </c>
      <c r="V322">
        <v>23.54</v>
      </c>
      <c r="W322" s="5">
        <v>13.98</v>
      </c>
      <c r="X322" s="5">
        <v>12.292392858207922</v>
      </c>
      <c r="Y322" s="5">
        <v>0.83222201877230007</v>
      </c>
      <c r="Z322" s="5">
        <v>17.34</v>
      </c>
    </row>
    <row r="323" spans="1:26" x14ac:dyDescent="0.2">
      <c r="A323" s="3">
        <v>322</v>
      </c>
      <c r="B323" s="4" t="s">
        <v>70</v>
      </c>
      <c r="C323" s="5">
        <v>22.19</v>
      </c>
      <c r="D323" s="5">
        <v>44.645539999999997</v>
      </c>
      <c r="E323" s="5">
        <v>5.3248599999999993</v>
      </c>
      <c r="F323" s="5">
        <v>13.086219999999997</v>
      </c>
      <c r="G323" s="5">
        <v>5.3602999999999996</v>
      </c>
      <c r="H323" s="5">
        <v>20.18308</v>
      </c>
      <c r="I323" s="5">
        <v>5.0999999999999996</v>
      </c>
      <c r="J323" s="5">
        <v>6.3</v>
      </c>
      <c r="K323" s="5">
        <v>83.5</v>
      </c>
      <c r="L323" s="5">
        <v>3.8</v>
      </c>
      <c r="M323" s="5">
        <v>900</v>
      </c>
      <c r="N323" s="4">
        <v>30</v>
      </c>
      <c r="O323" s="5">
        <v>0</v>
      </c>
      <c r="P323" s="5">
        <v>0.112</v>
      </c>
      <c r="Q323" s="5" t="s">
        <v>23</v>
      </c>
      <c r="R323" s="5">
        <v>0</v>
      </c>
      <c r="S323">
        <v>42.86</v>
      </c>
      <c r="T323">
        <v>8.66</v>
      </c>
      <c r="U323">
        <v>28.84</v>
      </c>
      <c r="V323">
        <v>19.64</v>
      </c>
      <c r="W323" s="5">
        <v>12.75</v>
      </c>
      <c r="X323" s="5">
        <v>7.780935677057963</v>
      </c>
      <c r="Y323" s="5">
        <v>0.9574683957311555</v>
      </c>
      <c r="Z323" s="5">
        <v>10.43</v>
      </c>
    </row>
    <row r="324" spans="1:26" x14ac:dyDescent="0.2">
      <c r="A324" s="3">
        <v>323</v>
      </c>
      <c r="B324" s="4" t="s">
        <v>70</v>
      </c>
      <c r="C324" s="5">
        <v>22.19</v>
      </c>
      <c r="D324" s="5">
        <v>44.645539999999997</v>
      </c>
      <c r="E324" s="5">
        <v>5.3248599999999993</v>
      </c>
      <c r="F324" s="5">
        <v>13.086219999999997</v>
      </c>
      <c r="G324" s="5">
        <v>5.3602999999999996</v>
      </c>
      <c r="H324" s="5">
        <v>20.18308</v>
      </c>
      <c r="I324" s="5">
        <v>5.0999999999999996</v>
      </c>
      <c r="J324" s="5">
        <v>6.3</v>
      </c>
      <c r="K324" s="5">
        <v>83.5</v>
      </c>
      <c r="L324" s="5">
        <v>3.8</v>
      </c>
      <c r="M324" s="5">
        <v>800</v>
      </c>
      <c r="N324" s="4">
        <v>30</v>
      </c>
      <c r="O324" s="5">
        <v>0</v>
      </c>
      <c r="P324" s="5">
        <v>0.112</v>
      </c>
      <c r="Q324" s="5" t="s">
        <v>23</v>
      </c>
      <c r="R324" s="5">
        <v>0</v>
      </c>
      <c r="S324">
        <v>40.71</v>
      </c>
      <c r="T324">
        <v>10.48</v>
      </c>
      <c r="U324">
        <v>26.47</v>
      </c>
      <c r="V324">
        <v>22.34</v>
      </c>
      <c r="W324" s="5">
        <v>13.72</v>
      </c>
      <c r="X324" s="5">
        <v>9.3167413650170854</v>
      </c>
      <c r="Y324" s="5">
        <v>0.92843620543974792</v>
      </c>
      <c r="Z324" s="5">
        <v>12.34</v>
      </c>
    </row>
    <row r="325" spans="1:26" x14ac:dyDescent="0.2">
      <c r="A325" s="3">
        <v>324</v>
      </c>
      <c r="B325" s="4" t="s">
        <v>70</v>
      </c>
      <c r="C325" s="5">
        <v>22.19</v>
      </c>
      <c r="D325" s="5">
        <v>44.645539999999997</v>
      </c>
      <c r="E325" s="5">
        <v>5.3248599999999993</v>
      </c>
      <c r="F325" s="5">
        <v>13.086219999999997</v>
      </c>
      <c r="G325" s="5">
        <v>5.3602999999999996</v>
      </c>
      <c r="H325" s="5">
        <v>20.18308</v>
      </c>
      <c r="I325" s="5">
        <v>5.0999999999999996</v>
      </c>
      <c r="J325" s="5">
        <v>6.3</v>
      </c>
      <c r="K325" s="5">
        <v>83.5</v>
      </c>
      <c r="L325" s="5">
        <v>3.8</v>
      </c>
      <c r="M325" s="5">
        <v>800</v>
      </c>
      <c r="N325" s="4">
        <v>30</v>
      </c>
      <c r="O325" s="5">
        <v>0</v>
      </c>
      <c r="P325" s="5">
        <v>0.112</v>
      </c>
      <c r="Q325" s="5" t="s">
        <v>23</v>
      </c>
      <c r="R325" s="5">
        <v>0</v>
      </c>
      <c r="S325">
        <v>45.97</v>
      </c>
      <c r="T325">
        <v>10.210000000000001</v>
      </c>
      <c r="U325">
        <v>24.61</v>
      </c>
      <c r="V325">
        <v>19.21</v>
      </c>
      <c r="W325" s="5">
        <v>13.13</v>
      </c>
      <c r="X325" s="5">
        <v>8.6811925473902889</v>
      </c>
      <c r="Y325" s="5">
        <v>0.97106474185210867</v>
      </c>
      <c r="Z325" s="5">
        <v>14.55</v>
      </c>
    </row>
    <row r="326" spans="1:26" x14ac:dyDescent="0.2">
      <c r="A326" s="3">
        <v>325</v>
      </c>
      <c r="B326" s="4" t="s">
        <v>70</v>
      </c>
      <c r="C326" s="5">
        <v>22.19</v>
      </c>
      <c r="D326" s="5">
        <v>44.645539999999997</v>
      </c>
      <c r="E326" s="5">
        <v>5.3248599999999993</v>
      </c>
      <c r="F326" s="5">
        <v>13.086219999999997</v>
      </c>
      <c r="G326" s="5">
        <v>5.3602999999999996</v>
      </c>
      <c r="H326" s="5">
        <v>20.18308</v>
      </c>
      <c r="I326" s="5">
        <v>5.0999999999999996</v>
      </c>
      <c r="J326" s="5">
        <v>6.3</v>
      </c>
      <c r="K326" s="5">
        <v>83.5</v>
      </c>
      <c r="L326" s="5">
        <v>3.8</v>
      </c>
      <c r="M326" s="5">
        <v>800</v>
      </c>
      <c r="N326" s="4">
        <v>15</v>
      </c>
      <c r="O326" s="5">
        <v>0</v>
      </c>
      <c r="P326" s="5">
        <v>5.6000000000000001E-2</v>
      </c>
      <c r="Q326" s="5" t="s">
        <v>23</v>
      </c>
      <c r="R326" s="5">
        <v>0</v>
      </c>
      <c r="S326">
        <v>39.11</v>
      </c>
      <c r="T326">
        <v>11.15</v>
      </c>
      <c r="U326">
        <v>25.869999999999997</v>
      </c>
      <c r="V326">
        <v>23.87</v>
      </c>
      <c r="W326" s="5">
        <v>14.18</v>
      </c>
      <c r="X326" s="5">
        <v>8.2670261508465881</v>
      </c>
      <c r="Y326" s="5">
        <v>0.90963786285227988</v>
      </c>
      <c r="Z326" s="5">
        <v>14.52</v>
      </c>
    </row>
    <row r="327" spans="1:26" x14ac:dyDescent="0.2">
      <c r="A327" s="3">
        <v>326</v>
      </c>
      <c r="B327" s="4" t="s">
        <v>70</v>
      </c>
      <c r="C327" s="5">
        <v>22.19</v>
      </c>
      <c r="D327" s="5">
        <v>44.645539999999997</v>
      </c>
      <c r="E327" s="5">
        <v>5.3248599999999993</v>
      </c>
      <c r="F327" s="5">
        <v>13.086219999999997</v>
      </c>
      <c r="G327" s="5">
        <v>5.3602999999999996</v>
      </c>
      <c r="H327" s="5">
        <v>20.18308</v>
      </c>
      <c r="I327" s="5">
        <v>5.0999999999999996</v>
      </c>
      <c r="J327" s="5">
        <v>6.3</v>
      </c>
      <c r="K327" s="5">
        <v>83.5</v>
      </c>
      <c r="L327" s="5">
        <v>3.8</v>
      </c>
      <c r="M327" s="5">
        <v>800</v>
      </c>
      <c r="N327" s="4">
        <v>40</v>
      </c>
      <c r="O327" s="5">
        <v>0</v>
      </c>
      <c r="P327" s="5">
        <v>0.14899999999999999</v>
      </c>
      <c r="Q327" s="5" t="s">
        <v>23</v>
      </c>
      <c r="R327" s="5">
        <v>0</v>
      </c>
      <c r="S327">
        <v>40.519999999999996</v>
      </c>
      <c r="T327">
        <v>10.619999999999997</v>
      </c>
      <c r="U327">
        <v>23.319999999999997</v>
      </c>
      <c r="V327">
        <v>25.540000000000003</v>
      </c>
      <c r="W327" s="5">
        <v>14.86</v>
      </c>
      <c r="X327" s="5">
        <v>6.16718385601152</v>
      </c>
      <c r="Y327" s="5">
        <v>1.0247789181507085</v>
      </c>
      <c r="Z327" s="5">
        <v>10.34</v>
      </c>
    </row>
    <row r="328" spans="1:26" x14ac:dyDescent="0.2">
      <c r="A328" s="3">
        <v>327</v>
      </c>
      <c r="B328" s="4" t="s">
        <v>70</v>
      </c>
      <c r="C328" s="5">
        <v>22.19</v>
      </c>
      <c r="D328" s="5">
        <v>44.645539999999997</v>
      </c>
      <c r="E328" s="5">
        <v>5.3248599999999993</v>
      </c>
      <c r="F328" s="5">
        <v>13.086219999999997</v>
      </c>
      <c r="G328" s="5">
        <v>5.3602999999999996</v>
      </c>
      <c r="H328" s="5">
        <v>20.18308</v>
      </c>
      <c r="I328" s="5">
        <v>5.0999999999999996</v>
      </c>
      <c r="J328" s="5">
        <v>6.3</v>
      </c>
      <c r="K328" s="5">
        <v>83.5</v>
      </c>
      <c r="L328" s="5">
        <v>3.8</v>
      </c>
      <c r="M328" s="5">
        <v>800</v>
      </c>
      <c r="N328" s="4">
        <v>30</v>
      </c>
      <c r="O328" s="5">
        <v>0</v>
      </c>
      <c r="P328" s="5">
        <v>0.112</v>
      </c>
      <c r="Q328" s="5" t="s">
        <v>23</v>
      </c>
      <c r="R328" s="5">
        <v>0</v>
      </c>
      <c r="S328">
        <v>44.52</v>
      </c>
      <c r="T328">
        <v>8.4499999999999993</v>
      </c>
      <c r="U328">
        <v>22.51</v>
      </c>
      <c r="V328">
        <v>24.52</v>
      </c>
      <c r="W328" s="5">
        <v>14.65</v>
      </c>
      <c r="X328" s="5">
        <v>8.1725172098197181</v>
      </c>
      <c r="Y328" s="5">
        <v>1.0204934154166163</v>
      </c>
      <c r="Z328" s="5">
        <v>13.45</v>
      </c>
    </row>
    <row r="329" spans="1:26" x14ac:dyDescent="0.2">
      <c r="A329" s="3">
        <v>328</v>
      </c>
      <c r="B329" s="4" t="s">
        <v>70</v>
      </c>
      <c r="C329" s="5">
        <v>22.19</v>
      </c>
      <c r="D329" s="5">
        <v>44.645539999999997</v>
      </c>
      <c r="E329" s="5">
        <v>5.3248599999999993</v>
      </c>
      <c r="F329" s="5">
        <v>13.086219999999997</v>
      </c>
      <c r="G329" s="5">
        <v>5.3602999999999996</v>
      </c>
      <c r="H329" s="5">
        <v>20.18308</v>
      </c>
      <c r="I329" s="5">
        <v>5.0999999999999996</v>
      </c>
      <c r="J329" s="5">
        <v>6.3</v>
      </c>
      <c r="K329" s="5">
        <v>83.5</v>
      </c>
      <c r="L329" s="5">
        <v>3.8</v>
      </c>
      <c r="M329" s="5">
        <v>1300</v>
      </c>
      <c r="N329" s="4">
        <v>40</v>
      </c>
      <c r="O329" s="5">
        <v>0</v>
      </c>
      <c r="P329" s="5">
        <v>0.14899999999999999</v>
      </c>
      <c r="Q329" s="5" t="s">
        <v>23</v>
      </c>
      <c r="R329" s="5">
        <v>0</v>
      </c>
      <c r="S329">
        <v>37.25980784627702</v>
      </c>
      <c r="T329">
        <v>13.110488390712572</v>
      </c>
      <c r="U329">
        <v>28.512810248198562</v>
      </c>
      <c r="V329">
        <v>21.116893514811856</v>
      </c>
      <c r="W329" s="5">
        <v>13.25</v>
      </c>
      <c r="X329" s="5">
        <v>11.438213629182155</v>
      </c>
      <c r="Y329" s="5">
        <v>0.82617795980749531</v>
      </c>
      <c r="Z329" s="5">
        <v>15.21</v>
      </c>
    </row>
    <row r="330" spans="1:26" x14ac:dyDescent="0.2">
      <c r="A330" s="3">
        <v>329</v>
      </c>
      <c r="B330" s="4" t="s">
        <v>71</v>
      </c>
      <c r="C330" s="5">
        <v>18.29</v>
      </c>
      <c r="D330" s="5">
        <v>43.779119999999999</v>
      </c>
      <c r="E330" s="5">
        <v>6.0728799999999996</v>
      </c>
      <c r="F330" s="5">
        <v>9.9704000000000001E-2</v>
      </c>
      <c r="G330" s="5">
        <v>9.0639999999999998E-2</v>
      </c>
      <c r="H330" s="5">
        <v>40.244160000000001</v>
      </c>
      <c r="I330" s="5">
        <v>0.46</v>
      </c>
      <c r="J330" s="5">
        <v>8.9</v>
      </c>
      <c r="K330" s="5"/>
      <c r="L330" s="5"/>
      <c r="M330" s="5">
        <v>1300</v>
      </c>
      <c r="N330" s="4">
        <v>40</v>
      </c>
      <c r="O330" s="5">
        <v>2.1</v>
      </c>
      <c r="P330" s="5">
        <v>0</v>
      </c>
      <c r="Q330" s="5" t="s">
        <v>44</v>
      </c>
      <c r="R330" s="5">
        <v>0</v>
      </c>
      <c r="S330">
        <v>7.2904496444904359</v>
      </c>
      <c r="T330">
        <v>76.185866408518876</v>
      </c>
      <c r="U330">
        <v>12.861768534900023</v>
      </c>
      <c r="V330">
        <v>3.6619154120906634</v>
      </c>
      <c r="X330">
        <v>21.947999999999997</v>
      </c>
      <c r="Z330" s="5">
        <v>7.81</v>
      </c>
    </row>
    <row r="331" spans="1:26" x14ac:dyDescent="0.2">
      <c r="A331" s="3">
        <v>330</v>
      </c>
      <c r="B331" s="4" t="s">
        <v>72</v>
      </c>
      <c r="C331" s="5">
        <v>18.38</v>
      </c>
      <c r="D331" s="5">
        <v>43.907049999999998</v>
      </c>
      <c r="E331" s="5">
        <v>6.0655099999999997</v>
      </c>
      <c r="F331" s="5">
        <v>9.9583000000000005E-2</v>
      </c>
      <c r="G331" s="5">
        <v>9.0529999999999999E-2</v>
      </c>
      <c r="H331" s="5">
        <v>39.923729999999999</v>
      </c>
      <c r="I331" s="5">
        <v>0.56999999999999995</v>
      </c>
      <c r="J331" s="5">
        <v>8.9</v>
      </c>
      <c r="K331" s="5"/>
      <c r="L331" s="5"/>
      <c r="M331" s="5">
        <v>1300</v>
      </c>
      <c r="N331" s="4">
        <v>40</v>
      </c>
      <c r="O331" s="5">
        <v>2.1</v>
      </c>
      <c r="P331" s="5">
        <v>0</v>
      </c>
      <c r="Q331" s="5" t="s">
        <v>44</v>
      </c>
      <c r="R331" s="5">
        <v>0</v>
      </c>
      <c r="S331">
        <v>7.6158009418710897</v>
      </c>
      <c r="T331">
        <v>78.734097139242294</v>
      </c>
      <c r="U331">
        <v>10.574963098334154</v>
      </c>
      <c r="V331">
        <v>3.0751388205524708</v>
      </c>
      <c r="X331">
        <v>22.055999999999997</v>
      </c>
      <c r="Z331" s="5">
        <v>7.26</v>
      </c>
    </row>
    <row r="332" spans="1:26" x14ac:dyDescent="0.2">
      <c r="A332" s="3">
        <v>331</v>
      </c>
      <c r="B332" s="4" t="s">
        <v>73</v>
      </c>
      <c r="C332" s="5">
        <v>17.66</v>
      </c>
      <c r="D332" s="5">
        <v>46.027760000000001</v>
      </c>
      <c r="E332" s="5">
        <v>6.5490399999999998</v>
      </c>
      <c r="F332" s="5">
        <v>0.11068799999999999</v>
      </c>
      <c r="G332" s="5">
        <v>9.2240000000000003E-2</v>
      </c>
      <c r="H332" s="5">
        <v>39.109760000000001</v>
      </c>
      <c r="I332" s="5">
        <v>0.46</v>
      </c>
      <c r="J332" s="5">
        <v>7.3</v>
      </c>
      <c r="K332" s="5"/>
      <c r="L332" s="5"/>
      <c r="M332" s="5">
        <v>1300</v>
      </c>
      <c r="N332" s="4">
        <v>40</v>
      </c>
      <c r="O332" s="5">
        <v>2.1</v>
      </c>
      <c r="P332" s="5">
        <v>0</v>
      </c>
      <c r="Q332" s="5" t="s">
        <v>44</v>
      </c>
      <c r="R332" s="5">
        <v>0</v>
      </c>
      <c r="S332">
        <v>7.3220634601194075</v>
      </c>
      <c r="T332">
        <v>75.984436841752199</v>
      </c>
      <c r="U332">
        <v>12.775877104715908</v>
      </c>
      <c r="V332">
        <v>3.9176225934124913</v>
      </c>
      <c r="X332">
        <v>21.192</v>
      </c>
      <c r="Z332" s="5">
        <v>6.93</v>
      </c>
    </row>
    <row r="333" spans="1:26" x14ac:dyDescent="0.2">
      <c r="A333" s="3">
        <v>332</v>
      </c>
      <c r="B333" s="4" t="s">
        <v>74</v>
      </c>
      <c r="C333" s="5">
        <v>18.3</v>
      </c>
      <c r="D333" s="5">
        <v>47.73648</v>
      </c>
      <c r="E333" s="5">
        <v>6.4191099999999999</v>
      </c>
      <c r="F333" s="5">
        <v>0.12657400000000002</v>
      </c>
      <c r="G333" s="5">
        <v>9.0410000000000004E-2</v>
      </c>
      <c r="H333" s="5">
        <v>36.796870000000006</v>
      </c>
      <c r="I333" s="5">
        <v>0.28999999999999998</v>
      </c>
      <c r="J333" s="5">
        <v>9.3000000000000007</v>
      </c>
      <c r="K333" s="5"/>
      <c r="L333" s="5"/>
      <c r="M333" s="5">
        <v>1300</v>
      </c>
      <c r="N333" s="4">
        <v>40</v>
      </c>
      <c r="O333" s="5">
        <v>2.1</v>
      </c>
      <c r="P333" s="5">
        <v>0</v>
      </c>
      <c r="Q333" s="5" t="s">
        <v>44</v>
      </c>
      <c r="R333" s="5">
        <v>0</v>
      </c>
      <c r="S333">
        <v>7.9937603463644464</v>
      </c>
      <c r="T333">
        <v>74.041767477397187</v>
      </c>
      <c r="U333">
        <v>15.704189481726724</v>
      </c>
      <c r="V333">
        <v>2.2602826945116514</v>
      </c>
      <c r="X333">
        <v>21.96</v>
      </c>
      <c r="Z333" s="5">
        <v>11.33</v>
      </c>
    </row>
    <row r="334" spans="1:26" x14ac:dyDescent="0.2">
      <c r="A334" s="3">
        <v>333</v>
      </c>
      <c r="B334" s="4" t="s">
        <v>75</v>
      </c>
      <c r="C334" s="5">
        <v>17.399999999999999</v>
      </c>
      <c r="D334" s="5">
        <v>47.34196</v>
      </c>
      <c r="E334" s="5">
        <v>6.5174400000000006</v>
      </c>
      <c r="F334" s="5">
        <v>8.1467999999999999E-2</v>
      </c>
      <c r="G334" s="5">
        <v>9.0520000000000003E-2</v>
      </c>
      <c r="H334" s="5">
        <v>36.298520000000003</v>
      </c>
      <c r="I334" s="5">
        <v>0.28000000000000003</v>
      </c>
      <c r="J334" s="5">
        <v>9.1999999999999993</v>
      </c>
      <c r="K334" s="5"/>
      <c r="L334" s="5"/>
      <c r="M334" s="5">
        <v>1300</v>
      </c>
      <c r="N334" s="4">
        <v>40</v>
      </c>
      <c r="O334" s="5">
        <v>2.1</v>
      </c>
      <c r="P334" s="5">
        <v>0</v>
      </c>
      <c r="Q334" s="5" t="s">
        <v>44</v>
      </c>
      <c r="R334" s="5">
        <v>0</v>
      </c>
      <c r="S334">
        <v>7.9797518191724954</v>
      </c>
      <c r="T334">
        <v>76.405244841283789</v>
      </c>
      <c r="U334">
        <v>13.537455619221712</v>
      </c>
      <c r="V334">
        <v>2.0775477203220021</v>
      </c>
      <c r="X334">
        <v>20.88</v>
      </c>
      <c r="Z334" s="5">
        <v>10.19</v>
      </c>
    </row>
    <row r="335" spans="1:26" x14ac:dyDescent="0.2">
      <c r="A335" s="3">
        <v>334</v>
      </c>
      <c r="B335" s="4" t="s">
        <v>71</v>
      </c>
      <c r="C335" s="5">
        <v>18.29</v>
      </c>
      <c r="D335" s="5">
        <v>43.779119999999999</v>
      </c>
      <c r="E335" s="5">
        <v>6.0728799999999996</v>
      </c>
      <c r="F335" s="5">
        <v>9.9704000000000001E-2</v>
      </c>
      <c r="G335" s="5">
        <v>9.0639999999999998E-2</v>
      </c>
      <c r="H335" s="5">
        <v>40.244160000000001</v>
      </c>
      <c r="I335" s="5">
        <v>0.46</v>
      </c>
      <c r="J335" s="5">
        <v>8.9</v>
      </c>
      <c r="K335" s="5"/>
      <c r="L335" s="5"/>
      <c r="M335" s="5">
        <v>1100</v>
      </c>
      <c r="N335" s="4">
        <v>40</v>
      </c>
      <c r="O335" s="5">
        <v>2.2999999999999998</v>
      </c>
      <c r="P335" s="5">
        <v>0</v>
      </c>
      <c r="Q335" s="5" t="s">
        <v>44</v>
      </c>
      <c r="R335" s="5">
        <v>0</v>
      </c>
      <c r="S335">
        <v>41.834862385321109</v>
      </c>
      <c r="T335">
        <v>40.73394495412844</v>
      </c>
      <c r="U335">
        <v>7.8899082568807346</v>
      </c>
      <c r="V335">
        <v>9.5412844036697244</v>
      </c>
      <c r="X335">
        <v>21.947999999999997</v>
      </c>
      <c r="Z335" s="5">
        <v>83.7</v>
      </c>
    </row>
    <row r="336" spans="1:26" x14ac:dyDescent="0.2">
      <c r="A336" s="3">
        <v>335</v>
      </c>
      <c r="B336" s="4" t="s">
        <v>72</v>
      </c>
      <c r="C336" s="5">
        <v>18.38</v>
      </c>
      <c r="D336" s="5">
        <v>43.907049999999998</v>
      </c>
      <c r="E336" s="5">
        <v>6.0655099999999997</v>
      </c>
      <c r="F336" s="5">
        <v>9.9583000000000005E-2</v>
      </c>
      <c r="G336" s="5">
        <v>9.0529999999999999E-2</v>
      </c>
      <c r="H336" s="5">
        <v>39.923729999999999</v>
      </c>
      <c r="I336" s="5">
        <v>0.56999999999999995</v>
      </c>
      <c r="J336" s="5">
        <v>8.9</v>
      </c>
      <c r="K336" s="5"/>
      <c r="L336" s="5"/>
      <c r="M336" s="5">
        <v>1100</v>
      </c>
      <c r="N336" s="4">
        <v>40</v>
      </c>
      <c r="O336" s="5">
        <v>2.2999999999999998</v>
      </c>
      <c r="P336" s="5">
        <v>0</v>
      </c>
      <c r="Q336" s="5" t="s">
        <v>44</v>
      </c>
      <c r="R336" s="5">
        <v>0</v>
      </c>
      <c r="S336">
        <v>48.900169204737729</v>
      </c>
      <c r="T336">
        <v>40.101522842639589</v>
      </c>
      <c r="U336">
        <v>7.4450084602368864</v>
      </c>
      <c r="V336">
        <v>3.5532994923857872</v>
      </c>
      <c r="X336">
        <v>22.055999999999997</v>
      </c>
      <c r="Z336" s="5">
        <v>85.2</v>
      </c>
    </row>
    <row r="337" spans="1:28" x14ac:dyDescent="0.2">
      <c r="A337" s="3">
        <v>336</v>
      </c>
      <c r="B337" s="4" t="s">
        <v>73</v>
      </c>
      <c r="C337" s="5">
        <v>17.66</v>
      </c>
      <c r="D337" s="5">
        <v>46.027760000000001</v>
      </c>
      <c r="E337" s="5">
        <v>6.5490399999999998</v>
      </c>
      <c r="F337" s="5">
        <v>0.11068799999999999</v>
      </c>
      <c r="G337" s="5">
        <v>9.2240000000000003E-2</v>
      </c>
      <c r="H337" s="5">
        <v>39.109760000000001</v>
      </c>
      <c r="I337" s="5">
        <v>0.46</v>
      </c>
      <c r="J337" s="5">
        <v>7.3</v>
      </c>
      <c r="K337" s="5"/>
      <c r="L337" s="5"/>
      <c r="M337" s="5">
        <v>1100</v>
      </c>
      <c r="N337" s="4">
        <v>40</v>
      </c>
      <c r="O337" s="5">
        <v>2.2999999999999998</v>
      </c>
      <c r="P337" s="5">
        <v>0</v>
      </c>
      <c r="Q337" s="5" t="s">
        <v>44</v>
      </c>
      <c r="R337" s="5">
        <v>0</v>
      </c>
      <c r="S337">
        <v>47.97687861271676</v>
      </c>
      <c r="T337">
        <v>40.847784200385355</v>
      </c>
      <c r="U337">
        <v>7.8998073217726397</v>
      </c>
      <c r="V337">
        <v>3.2755298651252409</v>
      </c>
      <c r="X337">
        <v>21.192</v>
      </c>
      <c r="Z337" s="5">
        <v>76.3</v>
      </c>
    </row>
    <row r="338" spans="1:28" x14ac:dyDescent="0.2">
      <c r="A338" s="3">
        <v>337</v>
      </c>
      <c r="B338" s="4" t="s">
        <v>74</v>
      </c>
      <c r="C338" s="5">
        <v>18.3</v>
      </c>
      <c r="D338" s="5">
        <v>47.73648</v>
      </c>
      <c r="E338" s="5">
        <v>6.4191099999999999</v>
      </c>
      <c r="F338" s="5">
        <v>0.12657400000000002</v>
      </c>
      <c r="G338" s="5">
        <v>9.0410000000000004E-2</v>
      </c>
      <c r="H338" s="5">
        <v>36.796870000000006</v>
      </c>
      <c r="I338" s="5">
        <v>0.28999999999999998</v>
      </c>
      <c r="J338" s="5">
        <v>9.3000000000000007</v>
      </c>
      <c r="K338" s="5"/>
      <c r="L338" s="5"/>
      <c r="M338" s="5">
        <v>1100</v>
      </c>
      <c r="N338" s="4">
        <v>40</v>
      </c>
      <c r="O338" s="5">
        <v>2.2999999999999998</v>
      </c>
      <c r="P338" s="5">
        <v>0</v>
      </c>
      <c r="Q338" s="5" t="s">
        <v>44</v>
      </c>
      <c r="R338" s="5">
        <v>0</v>
      </c>
      <c r="S338">
        <v>44.360902255639097</v>
      </c>
      <c r="T338">
        <v>41.917293233082709</v>
      </c>
      <c r="U338">
        <v>7.1428571428571423</v>
      </c>
      <c r="V338">
        <v>6.5789473684210522</v>
      </c>
      <c r="X338">
        <v>21.96</v>
      </c>
      <c r="Z338" s="5">
        <v>78.900000000000006</v>
      </c>
    </row>
    <row r="339" spans="1:28" x14ac:dyDescent="0.2">
      <c r="A339" s="3">
        <v>338</v>
      </c>
      <c r="B339" s="4" t="s">
        <v>75</v>
      </c>
      <c r="C339" s="5">
        <v>17.399999999999999</v>
      </c>
      <c r="D339" s="5">
        <v>47.34196</v>
      </c>
      <c r="E339" s="5">
        <v>6.5174400000000006</v>
      </c>
      <c r="F339" s="5">
        <v>8.1467999999999999E-2</v>
      </c>
      <c r="G339" s="5">
        <v>9.0520000000000003E-2</v>
      </c>
      <c r="H339" s="5">
        <v>36.298520000000003</v>
      </c>
      <c r="I339" s="5">
        <v>0.28000000000000003</v>
      </c>
      <c r="J339" s="5">
        <v>9.1999999999999993</v>
      </c>
      <c r="K339" s="5"/>
      <c r="L339" s="5"/>
      <c r="M339" s="5">
        <v>1100</v>
      </c>
      <c r="N339" s="4">
        <v>40</v>
      </c>
      <c r="O339" s="5">
        <v>2.2999999999999998</v>
      </c>
      <c r="P339" s="5">
        <v>0</v>
      </c>
      <c r="Q339" s="5" t="s">
        <v>44</v>
      </c>
      <c r="R339" s="5">
        <v>0</v>
      </c>
      <c r="S339">
        <v>50.080000000000005</v>
      </c>
      <c r="T339">
        <v>36.799999999999997</v>
      </c>
      <c r="U339">
        <v>8.64</v>
      </c>
      <c r="V339">
        <v>4.4799999999999986</v>
      </c>
      <c r="X339">
        <v>20.88</v>
      </c>
      <c r="Z339" s="5">
        <v>78.3</v>
      </c>
    </row>
    <row r="340" spans="1:28" x14ac:dyDescent="0.2">
      <c r="A340" s="3">
        <v>339</v>
      </c>
      <c r="B340" s="4" t="s">
        <v>71</v>
      </c>
      <c r="C340" s="5">
        <v>18.29</v>
      </c>
      <c r="D340" s="5">
        <v>43.779119999999999</v>
      </c>
      <c r="E340" s="5">
        <v>6.0728799999999996</v>
      </c>
      <c r="F340" s="5">
        <v>9.9704000000000001E-2</v>
      </c>
      <c r="G340" s="5">
        <v>9.0639999999999998E-2</v>
      </c>
      <c r="H340" s="5">
        <v>40.244160000000001</v>
      </c>
      <c r="I340" s="5">
        <v>0.46</v>
      </c>
      <c r="J340" s="5">
        <v>8.9</v>
      </c>
      <c r="K340" s="5"/>
      <c r="L340" s="5"/>
      <c r="M340" s="5">
        <v>1200</v>
      </c>
      <c r="N340" s="4">
        <v>40</v>
      </c>
      <c r="O340" s="5">
        <v>2.2999999999999998</v>
      </c>
      <c r="P340" s="5">
        <v>0</v>
      </c>
      <c r="Q340" s="5" t="s">
        <v>44</v>
      </c>
      <c r="R340" s="5">
        <v>0</v>
      </c>
      <c r="S340">
        <v>51.107594936708864</v>
      </c>
      <c r="T340">
        <v>41.930379746835449</v>
      </c>
      <c r="U340">
        <v>4.4303797468354427</v>
      </c>
      <c r="V340">
        <v>2.5316455696202538</v>
      </c>
      <c r="X340">
        <v>21.947999999999997</v>
      </c>
      <c r="Z340" s="5">
        <v>81.5</v>
      </c>
    </row>
    <row r="341" spans="1:28" x14ac:dyDescent="0.2">
      <c r="A341" s="3">
        <v>340</v>
      </c>
      <c r="B341" s="4" t="s">
        <v>72</v>
      </c>
      <c r="C341" s="5">
        <v>18.38</v>
      </c>
      <c r="D341" s="5">
        <v>43.907049999999998</v>
      </c>
      <c r="E341" s="5">
        <v>6.0655099999999997</v>
      </c>
      <c r="F341" s="5">
        <v>9.9583000000000005E-2</v>
      </c>
      <c r="G341" s="5">
        <v>9.0529999999999999E-2</v>
      </c>
      <c r="H341" s="5">
        <v>39.923729999999999</v>
      </c>
      <c r="I341" s="5">
        <v>0.56999999999999995</v>
      </c>
      <c r="J341" s="5">
        <v>8.9</v>
      </c>
      <c r="K341" s="5"/>
      <c r="L341" s="5"/>
      <c r="M341" s="5">
        <v>1200</v>
      </c>
      <c r="N341" s="4">
        <v>40</v>
      </c>
      <c r="O341" s="5">
        <v>2.2999999999999998</v>
      </c>
      <c r="P341" s="5">
        <v>0</v>
      </c>
      <c r="Q341" s="5" t="s">
        <v>44</v>
      </c>
      <c r="R341" s="5">
        <v>0</v>
      </c>
      <c r="S341">
        <v>49.705014749262531</v>
      </c>
      <c r="T341">
        <v>39.08554572271386</v>
      </c>
      <c r="U341">
        <v>4.7197640117994091</v>
      </c>
      <c r="V341">
        <v>6.4896755162241888</v>
      </c>
      <c r="X341">
        <v>22.055999999999997</v>
      </c>
      <c r="Z341" s="5">
        <v>83.5</v>
      </c>
    </row>
    <row r="342" spans="1:28" x14ac:dyDescent="0.2">
      <c r="A342" s="3">
        <v>341</v>
      </c>
      <c r="B342" s="4" t="s">
        <v>73</v>
      </c>
      <c r="C342" s="5">
        <v>17.66</v>
      </c>
      <c r="D342" s="5">
        <v>46.027760000000001</v>
      </c>
      <c r="E342" s="5">
        <v>6.5490399999999998</v>
      </c>
      <c r="F342" s="5">
        <v>0.11068799999999999</v>
      </c>
      <c r="G342" s="5">
        <v>9.2240000000000003E-2</v>
      </c>
      <c r="H342" s="5">
        <v>39.109760000000001</v>
      </c>
      <c r="I342" s="5">
        <v>0.46</v>
      </c>
      <c r="J342" s="5">
        <v>7.3</v>
      </c>
      <c r="K342" s="5"/>
      <c r="L342" s="5"/>
      <c r="M342" s="5">
        <v>1200</v>
      </c>
      <c r="N342" s="4">
        <v>40</v>
      </c>
      <c r="O342" s="5">
        <v>2.2999999999999998</v>
      </c>
      <c r="P342" s="5">
        <v>0</v>
      </c>
      <c r="Q342" s="5" t="s">
        <v>44</v>
      </c>
      <c r="R342" s="5">
        <v>0</v>
      </c>
      <c r="S342">
        <v>50.713153724247228</v>
      </c>
      <c r="T342">
        <v>39.936608557844693</v>
      </c>
      <c r="U342">
        <v>5.0713153724247224</v>
      </c>
      <c r="V342">
        <v>4.2789223454833616</v>
      </c>
      <c r="X342">
        <v>21.192</v>
      </c>
      <c r="Z342" s="5">
        <v>78.599999999999994</v>
      </c>
    </row>
    <row r="343" spans="1:28" x14ac:dyDescent="0.2">
      <c r="A343" s="3">
        <v>342</v>
      </c>
      <c r="B343" s="4" t="s">
        <v>74</v>
      </c>
      <c r="C343" s="13">
        <v>18.3</v>
      </c>
      <c r="D343" s="5">
        <v>47.73648</v>
      </c>
      <c r="E343" s="5">
        <v>6.4191099999999999</v>
      </c>
      <c r="F343" s="5">
        <v>0.12657400000000002</v>
      </c>
      <c r="G343" s="5">
        <v>9.0410000000000004E-2</v>
      </c>
      <c r="H343" s="5">
        <v>36.796870000000006</v>
      </c>
      <c r="I343" s="5">
        <v>0.28999999999999998</v>
      </c>
      <c r="J343" s="5">
        <v>9.3000000000000007</v>
      </c>
      <c r="K343" s="5"/>
      <c r="L343" s="5"/>
      <c r="M343" s="5">
        <v>1200</v>
      </c>
      <c r="N343" s="4">
        <v>40</v>
      </c>
      <c r="O343" s="5">
        <v>2.2999999999999998</v>
      </c>
      <c r="P343" s="5">
        <v>0</v>
      </c>
      <c r="Q343" s="5" t="s">
        <v>44</v>
      </c>
      <c r="R343" s="5">
        <v>0</v>
      </c>
      <c r="S343">
        <v>51.270553064275035</v>
      </c>
      <c r="T343">
        <v>40.956651718983558</v>
      </c>
      <c r="U343">
        <v>5.2316890881913309</v>
      </c>
      <c r="V343">
        <v>2.5411061285500751</v>
      </c>
      <c r="X343">
        <v>21.96</v>
      </c>
      <c r="Z343" s="5">
        <v>81.3</v>
      </c>
    </row>
    <row r="344" spans="1:28" x14ac:dyDescent="0.2">
      <c r="A344" s="3">
        <v>343</v>
      </c>
      <c r="B344" s="4" t="s">
        <v>75</v>
      </c>
      <c r="C344" s="13">
        <v>17.399999999999999</v>
      </c>
      <c r="D344" s="5">
        <v>47.34196</v>
      </c>
      <c r="E344" s="5">
        <v>6.5174400000000006</v>
      </c>
      <c r="F344" s="5">
        <v>8.1467999999999999E-2</v>
      </c>
      <c r="G344" s="5">
        <v>9.0520000000000003E-2</v>
      </c>
      <c r="H344" s="5">
        <v>36.298520000000003</v>
      </c>
      <c r="I344" s="5">
        <v>0.28000000000000003</v>
      </c>
      <c r="J344" s="5">
        <v>9.1999999999999993</v>
      </c>
      <c r="K344" s="5"/>
      <c r="L344" s="5"/>
      <c r="M344" s="5">
        <v>1200</v>
      </c>
      <c r="N344" s="4">
        <v>40</v>
      </c>
      <c r="O344" s="5">
        <v>2.2999999999999998</v>
      </c>
      <c r="P344" s="5">
        <v>0</v>
      </c>
      <c r="Q344" s="5" t="s">
        <v>44</v>
      </c>
      <c r="R344" s="5">
        <v>0</v>
      </c>
      <c r="S344">
        <v>50.534759358288774</v>
      </c>
      <c r="T344">
        <v>36.096256684491976</v>
      </c>
      <c r="U344">
        <v>5.0802139037433154</v>
      </c>
      <c r="V344">
        <v>8.2887700534759379</v>
      </c>
      <c r="X344">
        <v>20.88</v>
      </c>
      <c r="Z344" s="5">
        <v>78</v>
      </c>
    </row>
    <row r="345" spans="1:28" x14ac:dyDescent="0.2">
      <c r="A345" s="3">
        <v>344</v>
      </c>
      <c r="B345" s="4" t="s">
        <v>71</v>
      </c>
      <c r="C345" s="13">
        <v>18.29</v>
      </c>
      <c r="D345" s="5">
        <v>43.779119999999999</v>
      </c>
      <c r="E345" s="5">
        <v>6.0728799999999996</v>
      </c>
      <c r="F345" s="5">
        <v>9.9704000000000001E-2</v>
      </c>
      <c r="G345" s="5">
        <v>9.0639999999999998E-2</v>
      </c>
      <c r="H345" s="5">
        <v>40.244160000000001</v>
      </c>
      <c r="I345" s="5">
        <v>0.46</v>
      </c>
      <c r="J345" s="5">
        <v>8.9</v>
      </c>
      <c r="K345" s="5"/>
      <c r="L345" s="5"/>
      <c r="M345" s="5">
        <v>1300</v>
      </c>
      <c r="N345" s="4">
        <v>40</v>
      </c>
      <c r="O345" s="5">
        <v>2.2999999999999998</v>
      </c>
      <c r="P345" s="5">
        <v>0</v>
      </c>
      <c r="Q345" s="5" t="s">
        <v>44</v>
      </c>
      <c r="R345" s="5">
        <v>0</v>
      </c>
      <c r="S345">
        <v>52.211126961483586</v>
      </c>
      <c r="T345">
        <v>39.800285306704708</v>
      </c>
      <c r="U345">
        <v>3.2810271041369479</v>
      </c>
      <c r="V345">
        <v>4.7075606276747495</v>
      </c>
      <c r="X345">
        <v>21.947999999999997</v>
      </c>
      <c r="Z345" s="5">
        <v>77.400000000000006</v>
      </c>
    </row>
    <row r="346" spans="1:28" x14ac:dyDescent="0.2">
      <c r="A346" s="3">
        <v>345</v>
      </c>
      <c r="B346" s="4" t="s">
        <v>72</v>
      </c>
      <c r="C346" s="13">
        <v>18.38</v>
      </c>
      <c r="D346" s="5">
        <v>43.907049999999998</v>
      </c>
      <c r="E346" s="5">
        <v>6.0655099999999997</v>
      </c>
      <c r="F346" s="5">
        <v>9.9583000000000005E-2</v>
      </c>
      <c r="G346" s="5">
        <v>9.0529999999999999E-2</v>
      </c>
      <c r="H346" s="5">
        <v>39.923729999999999</v>
      </c>
      <c r="I346" s="5">
        <v>0.56999999999999995</v>
      </c>
      <c r="J346" s="5">
        <v>8.9</v>
      </c>
      <c r="K346" s="5"/>
      <c r="L346" s="5"/>
      <c r="M346" s="5">
        <v>1300</v>
      </c>
      <c r="N346" s="4">
        <v>40</v>
      </c>
      <c r="O346" s="5">
        <v>2.2999999999999998</v>
      </c>
      <c r="P346" s="5">
        <v>0</v>
      </c>
      <c r="Q346" s="5" t="s">
        <v>44</v>
      </c>
      <c r="R346" s="5">
        <v>0</v>
      </c>
      <c r="S346">
        <v>54.227405247813408</v>
      </c>
      <c r="T346">
        <v>40.233236151603499</v>
      </c>
      <c r="U346">
        <v>3.2069970845481048</v>
      </c>
      <c r="V346">
        <v>2.3323615160349855</v>
      </c>
      <c r="X346">
        <v>22.055999999999997</v>
      </c>
      <c r="Z346" s="5">
        <v>82.4</v>
      </c>
    </row>
    <row r="347" spans="1:28" x14ac:dyDescent="0.2">
      <c r="A347" s="3">
        <v>346</v>
      </c>
      <c r="B347" s="4" t="s">
        <v>73</v>
      </c>
      <c r="C347" s="13">
        <v>17.66</v>
      </c>
      <c r="D347" s="5">
        <v>46.027760000000001</v>
      </c>
      <c r="E347" s="5">
        <v>6.5490399999999998</v>
      </c>
      <c r="F347" s="5">
        <v>0.11068799999999999</v>
      </c>
      <c r="G347" s="5">
        <v>9.2240000000000003E-2</v>
      </c>
      <c r="H347" s="5">
        <v>39.109760000000001</v>
      </c>
      <c r="I347" s="5">
        <v>0.46</v>
      </c>
      <c r="J347" s="5">
        <v>7.3</v>
      </c>
      <c r="K347" s="5"/>
      <c r="L347" s="5"/>
      <c r="M347" s="5">
        <v>1300</v>
      </c>
      <c r="N347" s="4">
        <v>40</v>
      </c>
      <c r="O347" s="5">
        <v>2.2999999999999998</v>
      </c>
      <c r="P347" s="5">
        <v>0</v>
      </c>
      <c r="Q347" s="5" t="s">
        <v>44</v>
      </c>
      <c r="R347" s="5">
        <v>0</v>
      </c>
      <c r="S347">
        <v>51.959361393323654</v>
      </c>
      <c r="T347">
        <v>38.751814223512341</v>
      </c>
      <c r="U347">
        <v>3.6284470246734402</v>
      </c>
      <c r="V347">
        <v>5.6603773584905666</v>
      </c>
      <c r="X347">
        <v>21.192</v>
      </c>
      <c r="Z347" s="5">
        <v>77.5</v>
      </c>
    </row>
    <row r="348" spans="1:28" x14ac:dyDescent="0.2">
      <c r="A348" s="3">
        <v>347</v>
      </c>
      <c r="B348" s="4" t="s">
        <v>74</v>
      </c>
      <c r="C348" s="13">
        <v>18.3</v>
      </c>
      <c r="D348" s="5">
        <v>47.73648</v>
      </c>
      <c r="E348" s="5">
        <v>6.4191099999999999</v>
      </c>
      <c r="F348" s="5">
        <v>0.12657400000000002</v>
      </c>
      <c r="G348" s="5">
        <v>9.0410000000000004E-2</v>
      </c>
      <c r="H348" s="5">
        <v>36.796870000000006</v>
      </c>
      <c r="I348" s="5">
        <v>0.28999999999999998</v>
      </c>
      <c r="J348" s="5">
        <v>9.3000000000000007</v>
      </c>
      <c r="K348" s="5"/>
      <c r="L348" s="5"/>
      <c r="M348" s="5">
        <v>1300</v>
      </c>
      <c r="N348" s="4">
        <v>40</v>
      </c>
      <c r="O348" s="5">
        <v>2.2999999999999998</v>
      </c>
      <c r="P348" s="5">
        <v>0</v>
      </c>
      <c r="Q348" s="5" t="s">
        <v>44</v>
      </c>
      <c r="R348" s="5">
        <v>0</v>
      </c>
      <c r="S348">
        <v>54.896907216494853</v>
      </c>
      <c r="T348">
        <v>38.015463917525771</v>
      </c>
      <c r="U348">
        <v>4.3814432989690717</v>
      </c>
      <c r="V348">
        <v>2.7061855670103094</v>
      </c>
      <c r="X348">
        <v>21.96</v>
      </c>
      <c r="Z348" s="5">
        <v>80.8</v>
      </c>
    </row>
    <row r="349" spans="1:28" x14ac:dyDescent="0.2">
      <c r="A349" s="3">
        <v>348</v>
      </c>
      <c r="B349" s="4" t="s">
        <v>75</v>
      </c>
      <c r="C349" s="13">
        <v>17.399999999999999</v>
      </c>
      <c r="D349" s="5">
        <v>47.34196</v>
      </c>
      <c r="E349" s="5">
        <v>6.5174400000000006</v>
      </c>
      <c r="F349" s="5">
        <v>8.1467999999999999E-2</v>
      </c>
      <c r="G349" s="5">
        <v>9.0520000000000003E-2</v>
      </c>
      <c r="H349" s="5">
        <v>36.298520000000003</v>
      </c>
      <c r="I349" s="5">
        <v>0.28000000000000003</v>
      </c>
      <c r="J349" s="5">
        <v>9.1999999999999993</v>
      </c>
      <c r="K349" s="5"/>
      <c r="L349" s="5"/>
      <c r="M349" s="5">
        <v>1300</v>
      </c>
      <c r="N349" s="4">
        <v>40</v>
      </c>
      <c r="O349" s="5">
        <v>2.2999999999999998</v>
      </c>
      <c r="P349" s="5">
        <v>0</v>
      </c>
      <c r="Q349" s="5" t="s">
        <v>44</v>
      </c>
      <c r="R349" s="5">
        <v>0</v>
      </c>
      <c r="S349">
        <v>55.464480874316934</v>
      </c>
      <c r="T349">
        <v>37.158469945355186</v>
      </c>
      <c r="U349">
        <v>5.6010928961748627</v>
      </c>
      <c r="V349">
        <v>1.7759562841530054</v>
      </c>
      <c r="X349">
        <v>20.88</v>
      </c>
      <c r="Z349" s="5">
        <v>82.5</v>
      </c>
    </row>
    <row r="350" spans="1:28" x14ac:dyDescent="0.2">
      <c r="A350" s="3">
        <v>350</v>
      </c>
      <c r="B350" s="4" t="s">
        <v>76</v>
      </c>
      <c r="C350" s="13">
        <f>(0.3491*D350)+(1.1783*E350)+(0.1005*G350)-(0.1043*H350)-(0.0151*F350)</f>
        <v>13.486869332000003</v>
      </c>
      <c r="D350" s="5">
        <v>34.166940000000004</v>
      </c>
      <c r="E350" s="5">
        <v>4.9591900000000004</v>
      </c>
      <c r="F350" s="5">
        <v>0.62909000000000004</v>
      </c>
      <c r="G350" s="5">
        <v>0.11438000000000002</v>
      </c>
      <c r="H350" s="5">
        <v>41.095100000000002</v>
      </c>
      <c r="I350" s="5">
        <v>7.9</v>
      </c>
      <c r="J350" s="5">
        <v>10.4</v>
      </c>
      <c r="K350" s="5">
        <v>64.400000000000006</v>
      </c>
      <c r="L350" s="5">
        <v>17.3</v>
      </c>
      <c r="M350" s="5">
        <v>740</v>
      </c>
      <c r="N350" s="4">
        <v>180</v>
      </c>
      <c r="O350" s="5">
        <v>0</v>
      </c>
      <c r="P350" s="5">
        <v>0.36</v>
      </c>
      <c r="Q350" s="5" t="s">
        <v>23</v>
      </c>
      <c r="R350" s="5">
        <v>0</v>
      </c>
      <c r="S350">
        <v>29.477234401349072</v>
      </c>
      <c r="T350">
        <v>33.187183811129849</v>
      </c>
      <c r="U350">
        <v>23.946037099494095</v>
      </c>
      <c r="V350">
        <v>13.389544688026984</v>
      </c>
      <c r="X350">
        <v>3.61</v>
      </c>
      <c r="Y350" s="5">
        <v>1.46</v>
      </c>
      <c r="Z350" s="13"/>
      <c r="AA350" s="17">
        <v>35.229999999999997</v>
      </c>
      <c r="AB350" s="17">
        <v>39</v>
      </c>
    </row>
    <row r="351" spans="1:28" x14ac:dyDescent="0.2">
      <c r="A351" s="3">
        <v>351</v>
      </c>
      <c r="B351" s="4" t="s">
        <v>27</v>
      </c>
      <c r="C351" s="13">
        <f t="shared" ref="C351:C353" si="1">(0.3491*D351)+(1.1783*E351)+(0.1005*G351)-(0.1043*H351)-(0.0151*F351)</f>
        <v>15.727568640000001</v>
      </c>
      <c r="D351" s="5">
        <v>39.453299999999999</v>
      </c>
      <c r="E351" s="5">
        <v>5.4870000000000001</v>
      </c>
      <c r="F351" s="5">
        <v>0.36285000000000001</v>
      </c>
      <c r="G351" s="5">
        <v>0</v>
      </c>
      <c r="H351" s="5">
        <v>43.196850000000005</v>
      </c>
      <c r="I351" s="5">
        <v>1.2</v>
      </c>
      <c r="J351" s="5">
        <v>10.3</v>
      </c>
      <c r="K351" s="5">
        <v>73.7</v>
      </c>
      <c r="L351" s="5">
        <v>14.8</v>
      </c>
      <c r="M351" s="5">
        <v>740</v>
      </c>
      <c r="N351" s="4">
        <v>180</v>
      </c>
      <c r="O351" s="5">
        <v>0</v>
      </c>
      <c r="P351" s="5">
        <v>0.36</v>
      </c>
      <c r="Q351" s="5" t="s">
        <v>23</v>
      </c>
      <c r="R351" s="5">
        <v>0</v>
      </c>
      <c r="S351">
        <v>20.353982300884958</v>
      </c>
      <c r="T351">
        <v>26.84365781710914</v>
      </c>
      <c r="U351">
        <v>28.908554572271388</v>
      </c>
      <c r="V351">
        <v>23.89380530973451</v>
      </c>
      <c r="X351">
        <v>4.8</v>
      </c>
      <c r="Y351" s="5">
        <v>1.69</v>
      </c>
      <c r="Z351" s="13"/>
      <c r="AA351" s="17">
        <v>59.2</v>
      </c>
      <c r="AB351" s="17">
        <v>54.8</v>
      </c>
    </row>
    <row r="352" spans="1:28" x14ac:dyDescent="0.2">
      <c r="A352" s="3">
        <v>352</v>
      </c>
      <c r="B352" s="4" t="s">
        <v>76</v>
      </c>
      <c r="C352" s="13">
        <f t="shared" si="1"/>
        <v>13.486869332000003</v>
      </c>
      <c r="D352" s="5">
        <v>34.166940000000004</v>
      </c>
      <c r="E352" s="5">
        <v>4.9591900000000004</v>
      </c>
      <c r="F352" s="5">
        <v>0.62909000000000004</v>
      </c>
      <c r="G352" s="5">
        <v>0.11438000000000002</v>
      </c>
      <c r="H352" s="5">
        <v>41.095100000000002</v>
      </c>
      <c r="I352" s="5">
        <v>7.9</v>
      </c>
      <c r="J352" s="5">
        <v>10.4</v>
      </c>
      <c r="K352" s="5">
        <v>64.400000000000006</v>
      </c>
      <c r="L352" s="5">
        <v>17.3</v>
      </c>
      <c r="M352" s="5">
        <v>700</v>
      </c>
      <c r="N352" s="4">
        <v>180</v>
      </c>
      <c r="O352" s="5">
        <v>0</v>
      </c>
      <c r="P352" s="5">
        <v>0.36</v>
      </c>
      <c r="Q352" s="5" t="s">
        <v>23</v>
      </c>
      <c r="R352" s="5">
        <v>0</v>
      </c>
      <c r="S352">
        <v>27.185840707964608</v>
      </c>
      <c r="T352">
        <v>33.592920353982301</v>
      </c>
      <c r="U352">
        <v>25.486725663716815</v>
      </c>
      <c r="V352">
        <v>13.734513274336283</v>
      </c>
      <c r="X352">
        <v>3.42</v>
      </c>
      <c r="Y352" s="5">
        <v>1.43</v>
      </c>
      <c r="Z352" s="13"/>
      <c r="AA352" s="17">
        <v>32.71</v>
      </c>
      <c r="AB352" s="17">
        <v>37.700000000000003</v>
      </c>
    </row>
    <row r="353" spans="1:28" x14ac:dyDescent="0.2">
      <c r="A353" s="3">
        <v>353</v>
      </c>
      <c r="B353" s="4" t="s">
        <v>27</v>
      </c>
      <c r="C353" s="13">
        <f t="shared" si="1"/>
        <v>15.727568640000001</v>
      </c>
      <c r="D353" s="5">
        <v>39.453299999999999</v>
      </c>
      <c r="E353" s="5">
        <v>5.4870000000000001</v>
      </c>
      <c r="F353" s="5">
        <v>0.36285000000000001</v>
      </c>
      <c r="G353" s="5">
        <v>0</v>
      </c>
      <c r="H353" s="5">
        <v>43.196850000000005</v>
      </c>
      <c r="I353" s="5">
        <v>1.2</v>
      </c>
      <c r="J353" s="5">
        <v>10.3</v>
      </c>
      <c r="K353" s="5">
        <v>73.7</v>
      </c>
      <c r="L353" s="5">
        <v>14.8</v>
      </c>
      <c r="M353" s="5">
        <v>700</v>
      </c>
      <c r="N353" s="4">
        <v>180</v>
      </c>
      <c r="O353" s="5">
        <v>0</v>
      </c>
      <c r="P353" s="5">
        <v>0.36</v>
      </c>
      <c r="Q353" s="5" t="s">
        <v>23</v>
      </c>
      <c r="R353" s="5">
        <v>0</v>
      </c>
      <c r="S353">
        <v>21.223021582733814</v>
      </c>
      <c r="T353">
        <v>27.338129496402878</v>
      </c>
      <c r="U353">
        <v>32.014388489208635</v>
      </c>
      <c r="V353">
        <v>19.42446043165468</v>
      </c>
      <c r="X353">
        <v>3.53</v>
      </c>
      <c r="Y353" s="5">
        <v>1.55</v>
      </c>
      <c r="Z353" s="13"/>
      <c r="AA353" s="17">
        <v>39.9</v>
      </c>
      <c r="AB353" s="17">
        <v>40.700000000000003</v>
      </c>
    </row>
    <row r="354" spans="1:28" x14ac:dyDescent="0.2">
      <c r="A354" s="3">
        <v>354</v>
      </c>
      <c r="B354" s="4" t="s">
        <v>40</v>
      </c>
      <c r="C354" s="13">
        <v>14.007999999999999</v>
      </c>
      <c r="D354" s="5">
        <v>37.277352999999998</v>
      </c>
      <c r="E354" s="5">
        <v>4.5227570000000004</v>
      </c>
      <c r="F354" s="5">
        <v>0.76745300000000005</v>
      </c>
      <c r="G354" s="5">
        <v>5.9608000000000001E-2</v>
      </c>
      <c r="H354" s="5">
        <v>31.696553999999999</v>
      </c>
      <c r="I354" s="5">
        <v>15.14</v>
      </c>
      <c r="J354" s="5">
        <v>10.35</v>
      </c>
      <c r="K354" s="5">
        <v>68.319999999999993</v>
      </c>
      <c r="L354" s="5"/>
      <c r="M354" s="5">
        <v>900</v>
      </c>
      <c r="N354" s="4">
        <v>25</v>
      </c>
      <c r="O354" s="5">
        <v>1.9493177387914231</v>
      </c>
      <c r="P354" s="5">
        <v>0</v>
      </c>
      <c r="Q354" s="5" t="s">
        <v>77</v>
      </c>
      <c r="R354" s="14">
        <v>0</v>
      </c>
      <c r="S354">
        <v>54.227229291354426</v>
      </c>
      <c r="T354">
        <v>23.929990444097974</v>
      </c>
      <c r="U354">
        <v>18.508273399386411</v>
      </c>
      <c r="V354">
        <v>3.3345068651611931</v>
      </c>
      <c r="X354">
        <v>10.07</v>
      </c>
      <c r="Y354" s="5">
        <v>0.21784387573555303</v>
      </c>
      <c r="Z354" s="5"/>
      <c r="AA354" s="17"/>
      <c r="AB354" s="17"/>
    </row>
    <row r="355" spans="1:28" x14ac:dyDescent="0.2">
      <c r="A355" s="3">
        <v>355</v>
      </c>
      <c r="B355" s="4" t="s">
        <v>78</v>
      </c>
      <c r="C355" s="13">
        <v>13.162000000000001</v>
      </c>
      <c r="D355" s="5">
        <v>34.695419999999999</v>
      </c>
      <c r="E355" s="5">
        <v>3.9786200000000003</v>
      </c>
      <c r="F355" s="5">
        <v>1.0327200000000001</v>
      </c>
      <c r="G355" s="5">
        <v>0.17212000000000002</v>
      </c>
      <c r="H355" s="5">
        <v>26.261540000000004</v>
      </c>
      <c r="I355" s="5">
        <v>25.46</v>
      </c>
      <c r="J355" s="5">
        <v>8.34</v>
      </c>
      <c r="K355" s="5">
        <v>58.73</v>
      </c>
      <c r="L355" s="5"/>
      <c r="M355" s="5">
        <v>900</v>
      </c>
      <c r="N355" s="4">
        <v>25</v>
      </c>
      <c r="O355" s="5">
        <v>1.9493177387914231</v>
      </c>
      <c r="P355" s="5">
        <v>0</v>
      </c>
      <c r="Q355" s="5" t="s">
        <v>44</v>
      </c>
      <c r="R355" s="5">
        <v>0</v>
      </c>
      <c r="S355">
        <v>51.634403616552682</v>
      </c>
      <c r="T355">
        <v>20.76040338472238</v>
      </c>
      <c r="U355">
        <v>21.815231250724469</v>
      </c>
      <c r="V355">
        <v>5.7899617480004633</v>
      </c>
      <c r="X355">
        <v>10.27</v>
      </c>
      <c r="Y355" s="5">
        <v>0.22995720623659702</v>
      </c>
      <c r="Z355" s="5"/>
      <c r="AA355" s="17"/>
      <c r="AB355" s="17"/>
    </row>
    <row r="356" spans="1:28" x14ac:dyDescent="0.2">
      <c r="A356" s="3">
        <v>356</v>
      </c>
      <c r="B356" s="4" t="s">
        <v>79</v>
      </c>
      <c r="C356" s="13">
        <v>16.178999999999998</v>
      </c>
      <c r="D356" s="5">
        <v>44.302679999999995</v>
      </c>
      <c r="E356" s="5">
        <v>4.2820109999999998</v>
      </c>
      <c r="F356" s="5">
        <v>0.40988699999999995</v>
      </c>
      <c r="G356" s="5">
        <v>0</v>
      </c>
      <c r="H356" s="5">
        <v>38.224142999999998</v>
      </c>
      <c r="I356" s="5">
        <v>0.66</v>
      </c>
      <c r="J356" s="5">
        <v>12.13</v>
      </c>
      <c r="K356" s="5">
        <v>83.45</v>
      </c>
      <c r="L356" s="5"/>
      <c r="M356" s="5">
        <v>900</v>
      </c>
      <c r="N356" s="4">
        <v>20</v>
      </c>
      <c r="O356" s="5">
        <v>1.5594541910331385</v>
      </c>
      <c r="P356" s="5">
        <v>0</v>
      </c>
      <c r="Q356" s="5" t="s">
        <v>44</v>
      </c>
      <c r="R356" s="5">
        <v>0</v>
      </c>
      <c r="S356">
        <v>54.827658901654907</v>
      </c>
      <c r="T356">
        <v>17.086539475071145</v>
      </c>
      <c r="U356">
        <v>22.562453884262677</v>
      </c>
      <c r="V356">
        <v>5.5233477390112782</v>
      </c>
      <c r="X356">
        <v>10.06</v>
      </c>
      <c r="Y356" s="5">
        <v>0.19180180282887099</v>
      </c>
      <c r="Z356" s="5"/>
      <c r="AA356" s="17"/>
      <c r="AB356" s="17"/>
    </row>
    <row r="357" spans="1:28" x14ac:dyDescent="0.2">
      <c r="A357" s="3">
        <v>357</v>
      </c>
      <c r="B357" s="4" t="s">
        <v>80</v>
      </c>
      <c r="C357" s="13">
        <v>14.85</v>
      </c>
      <c r="D357" s="5">
        <v>44.697702000000007</v>
      </c>
      <c r="E357" s="5">
        <v>3.8788960000000001</v>
      </c>
      <c r="F357" s="5">
        <v>0.56704200000000005</v>
      </c>
      <c r="G357" s="5">
        <v>0</v>
      </c>
      <c r="H357" s="5">
        <v>33.028142000000003</v>
      </c>
      <c r="I357" s="5">
        <v>4.7699999999999996</v>
      </c>
      <c r="J357" s="5">
        <v>13.05</v>
      </c>
      <c r="K357" s="5">
        <v>70</v>
      </c>
      <c r="L357" s="5"/>
      <c r="M357" s="5">
        <v>900</v>
      </c>
      <c r="N357" s="4">
        <v>10</v>
      </c>
      <c r="O357" s="5">
        <v>0.77972709551656927</v>
      </c>
      <c r="P357" s="5">
        <v>0</v>
      </c>
      <c r="Q357" s="5" t="s">
        <v>44</v>
      </c>
      <c r="R357" s="5">
        <v>0</v>
      </c>
      <c r="S357">
        <v>56.476258283586169</v>
      </c>
      <c r="T357">
        <v>16.731474889095786</v>
      </c>
      <c r="U357">
        <v>21.282655128977485</v>
      </c>
      <c r="V357">
        <v>5.5096116983405432</v>
      </c>
      <c r="X357">
        <v>10.19</v>
      </c>
      <c r="Y357" s="5">
        <v>0.12827507056451598</v>
      </c>
      <c r="Z357" s="5"/>
      <c r="AA357" s="17"/>
      <c r="AB357" s="17"/>
    </row>
    <row r="358" spans="1:28" x14ac:dyDescent="0.2">
      <c r="A358" s="3">
        <v>358</v>
      </c>
      <c r="B358" s="4" t="s">
        <v>81</v>
      </c>
      <c r="C358" s="13">
        <v>15.263999999999999</v>
      </c>
      <c r="D358" s="5">
        <v>43.693358999999994</v>
      </c>
      <c r="E358" s="5">
        <v>4.1645099999999999</v>
      </c>
      <c r="F358" s="5">
        <v>1.9972650000000001</v>
      </c>
      <c r="G358" s="5">
        <v>0</v>
      </c>
      <c r="H358" s="5">
        <v>35.117868000000001</v>
      </c>
      <c r="I358" s="5">
        <v>4.1100000000000003</v>
      </c>
      <c r="J358" s="5">
        <v>10.9</v>
      </c>
      <c r="K358" s="5">
        <v>79.75</v>
      </c>
      <c r="L358" s="5"/>
      <c r="M358" s="5">
        <v>900</v>
      </c>
      <c r="N358" s="4">
        <v>20</v>
      </c>
      <c r="O358" s="5">
        <v>1.5594541910331385</v>
      </c>
      <c r="P358" s="5">
        <v>0</v>
      </c>
      <c r="Q358" s="5" t="s">
        <v>44</v>
      </c>
      <c r="R358" s="5">
        <v>0</v>
      </c>
      <c r="S358">
        <v>54.986182866754774</v>
      </c>
      <c r="T358">
        <v>21.374504385437941</v>
      </c>
      <c r="U358">
        <v>18.743241619608312</v>
      </c>
      <c r="V358">
        <v>4.8960711281989662</v>
      </c>
      <c r="X358">
        <v>10.4</v>
      </c>
      <c r="Y358" s="5">
        <v>0.185075715825123</v>
      </c>
      <c r="Z358" s="5"/>
      <c r="AA358" s="17"/>
      <c r="AB358" s="17"/>
    </row>
    <row r="359" spans="1:28" x14ac:dyDescent="0.2">
      <c r="A359" s="3">
        <v>359</v>
      </c>
      <c r="B359" s="4" t="s">
        <v>82</v>
      </c>
      <c r="C359" s="13">
        <v>15.978</v>
      </c>
      <c r="D359" s="5">
        <v>45.065708000000001</v>
      </c>
      <c r="E359" s="5">
        <v>3.5904920000000002</v>
      </c>
      <c r="F359" s="5">
        <v>1.837191</v>
      </c>
      <c r="G359" s="5">
        <v>0</v>
      </c>
      <c r="H359" s="5">
        <v>33.388219999999997</v>
      </c>
      <c r="I359" s="5">
        <v>3.21</v>
      </c>
      <c r="J359" s="5">
        <v>12.9</v>
      </c>
      <c r="K359" s="5">
        <v>78.45</v>
      </c>
      <c r="L359" s="5"/>
      <c r="M359" s="5">
        <v>900</v>
      </c>
      <c r="N359" s="4">
        <v>5</v>
      </c>
      <c r="O359" s="5">
        <v>0.38986354775828463</v>
      </c>
      <c r="P359" s="5">
        <v>0</v>
      </c>
      <c r="Q359" s="5" t="s">
        <v>44</v>
      </c>
      <c r="R359" s="5">
        <v>0</v>
      </c>
      <c r="S359">
        <v>56.63443246670893</v>
      </c>
      <c r="T359">
        <v>15.940076093849084</v>
      </c>
      <c r="U359">
        <v>22.043436905516806</v>
      </c>
      <c r="V359">
        <v>5.3820545339251762</v>
      </c>
      <c r="X359">
        <v>10.06</v>
      </c>
      <c r="Y359" s="5">
        <v>0.100752793996711</v>
      </c>
      <c r="Z359" s="5"/>
      <c r="AA359" s="17"/>
      <c r="AB359" s="17"/>
    </row>
    <row r="360" spans="1:28" x14ac:dyDescent="0.2">
      <c r="A360" s="3">
        <v>360</v>
      </c>
      <c r="B360" s="4" t="s">
        <v>83</v>
      </c>
      <c r="C360" s="13">
        <v>13.279</v>
      </c>
      <c r="D360" s="5">
        <v>37.989436999999995</v>
      </c>
      <c r="E360" s="5">
        <v>4.3248799999999994</v>
      </c>
      <c r="F360" s="5">
        <v>0.81091500000000005</v>
      </c>
      <c r="G360" s="5">
        <v>7.7230000000000007E-2</v>
      </c>
      <c r="H360" s="5">
        <v>34.019814999999994</v>
      </c>
      <c r="I360" s="5">
        <v>11.72</v>
      </c>
      <c r="J360" s="5">
        <v>11.05</v>
      </c>
      <c r="K360" s="5">
        <v>69.599999999999994</v>
      </c>
      <c r="L360" s="5"/>
      <c r="M360" s="5">
        <v>900</v>
      </c>
      <c r="N360" s="4">
        <v>40</v>
      </c>
      <c r="O360" s="5">
        <v>3.1189083820662771</v>
      </c>
      <c r="P360" s="5">
        <v>0</v>
      </c>
      <c r="Q360" s="5" t="s">
        <v>44</v>
      </c>
      <c r="R360" s="5">
        <v>0</v>
      </c>
      <c r="S360">
        <v>58.44061751100709</v>
      </c>
      <c r="T360">
        <v>17.042857939029147</v>
      </c>
      <c r="U360">
        <v>20.069107730033998</v>
      </c>
      <c r="V360">
        <v>4.4474168199297779</v>
      </c>
      <c r="X360">
        <v>10.06</v>
      </c>
      <c r="Y360" s="5">
        <v>0.28635588613944202</v>
      </c>
      <c r="Z360" s="5"/>
      <c r="AA360" s="17"/>
      <c r="AB360" s="17"/>
    </row>
  </sheetData>
  <autoFilter ref="A1:AM360" xr:uid="{335B4FE9-D525-4889-AA6C-6125BB43492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FD1A-DD65-4740-851E-856F897999CC}">
  <dimension ref="C1:N360"/>
  <sheetViews>
    <sheetView workbookViewId="0">
      <selection activeCell="N360" sqref="K2:N360"/>
    </sheetView>
  </sheetViews>
  <sheetFormatPr defaultRowHeight="14.25" x14ac:dyDescent="0.2"/>
  <sheetData>
    <row r="1" spans="3:14" x14ac:dyDescent="0.2">
      <c r="C1" s="2" t="s">
        <v>84</v>
      </c>
      <c r="D1" s="2" t="s">
        <v>11</v>
      </c>
      <c r="E1" s="2" t="s">
        <v>12</v>
      </c>
      <c r="F1" s="2" t="s">
        <v>13</v>
      </c>
      <c r="G1" s="2" t="s">
        <v>14</v>
      </c>
      <c r="J1" s="2" t="s">
        <v>84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3:14" x14ac:dyDescent="0.2">
      <c r="C2" s="5">
        <v>63.334358658874187</v>
      </c>
      <c r="D2" s="5">
        <v>8.6947605864862094</v>
      </c>
      <c r="E2" s="5">
        <v>9.98667076796883</v>
      </c>
      <c r="F2" s="5">
        <v>13.698349225879216</v>
      </c>
      <c r="G2" s="5">
        <v>4.2858607607915511</v>
      </c>
      <c r="H2" s="18">
        <f>SUM(C2:G2)</f>
        <v>99.999999999999986</v>
      </c>
      <c r="K2">
        <f>(D2/SUM($D2:$G2))*100</f>
        <v>23.713646532438478</v>
      </c>
      <c r="L2">
        <f>(E2/SUM($D2:$G2))*100</f>
        <v>27.237136465324387</v>
      </c>
      <c r="M2">
        <f t="shared" ref="L2:N2" si="0">(F2/SUM($D2:$G2))*100</f>
        <v>37.360178970917225</v>
      </c>
      <c r="N2">
        <f t="shared" si="0"/>
        <v>11.68903803131991</v>
      </c>
    </row>
    <row r="3" spans="3:14" x14ac:dyDescent="0.2">
      <c r="C3" s="5">
        <v>62.761333057338021</v>
      </c>
      <c r="D3" s="5">
        <v>7.3587249016766716</v>
      </c>
      <c r="E3" s="5">
        <v>9.2941419995860066</v>
      </c>
      <c r="F3" s="5">
        <v>16.238873939143033</v>
      </c>
      <c r="G3" s="5">
        <v>4.3469261022562611</v>
      </c>
      <c r="H3" s="18">
        <f t="shared" ref="H3:H66" si="1">SUM(C3:G3)</f>
        <v>99.999999999999986</v>
      </c>
      <c r="K3">
        <f t="shared" ref="K3:K66" si="2">(D3/SUM($D3:$G3))*100</f>
        <v>19.760978321289606</v>
      </c>
      <c r="L3">
        <f t="shared" ref="L3:L66" si="3">(E3/SUM($D3:$G3))*100</f>
        <v>24.958310172317955</v>
      </c>
      <c r="M3">
        <f t="shared" ref="M3:M66" si="4">(F3/SUM($D3:$G3))*100</f>
        <v>43.607559755419679</v>
      </c>
      <c r="N3">
        <f t="shared" ref="N3:N66" si="5">(G3/SUM($D3:$G3))*100</f>
        <v>11.673151750972762</v>
      </c>
    </row>
    <row r="4" spans="3:14" x14ac:dyDescent="0.2">
      <c r="C4" s="5">
        <v>63.296725854459609</v>
      </c>
      <c r="D4" s="5">
        <v>8.6626295802114317</v>
      </c>
      <c r="E4" s="5">
        <v>10.746176742276505</v>
      </c>
      <c r="F4" s="5">
        <v>12.603920763625165</v>
      </c>
      <c r="G4" s="5">
        <v>4.6905470594272813</v>
      </c>
      <c r="H4" s="18">
        <f t="shared" si="1"/>
        <v>100</v>
      </c>
      <c r="K4">
        <f t="shared" si="2"/>
        <v>23.601789709172255</v>
      </c>
      <c r="L4">
        <f t="shared" si="3"/>
        <v>29.278523489932891</v>
      </c>
      <c r="M4">
        <f t="shared" si="4"/>
        <v>34.340044742729312</v>
      </c>
      <c r="N4">
        <f t="shared" si="5"/>
        <v>12.77964205816555</v>
      </c>
    </row>
    <row r="5" spans="3:14" x14ac:dyDescent="0.2">
      <c r="C5" s="5">
        <v>63.329238329238336</v>
      </c>
      <c r="D5" s="5">
        <v>8.4357084357084364</v>
      </c>
      <c r="E5" s="5">
        <v>10.647010647010648</v>
      </c>
      <c r="F5" s="5">
        <v>13.134725634725635</v>
      </c>
      <c r="G5" s="5">
        <v>4.4533169533169534</v>
      </c>
      <c r="H5" s="18">
        <f t="shared" si="1"/>
        <v>100.00000000000001</v>
      </c>
      <c r="K5">
        <f t="shared" si="2"/>
        <v>23.003908431044106</v>
      </c>
      <c r="L5">
        <f t="shared" si="3"/>
        <v>29.03405918481295</v>
      </c>
      <c r="M5">
        <f t="shared" si="4"/>
        <v>35.817978782802896</v>
      </c>
      <c r="N5">
        <f t="shared" si="5"/>
        <v>12.144053601340032</v>
      </c>
    </row>
    <row r="6" spans="3:14" x14ac:dyDescent="0.2">
      <c r="C6" s="5">
        <v>61.999182338511858</v>
      </c>
      <c r="D6" s="5">
        <v>7.2363041700735904</v>
      </c>
      <c r="E6" s="5">
        <v>13.011038430089943</v>
      </c>
      <c r="F6" s="5">
        <v>14.349959116925593</v>
      </c>
      <c r="G6" s="5">
        <v>3.4035159443990195</v>
      </c>
      <c r="H6" s="18">
        <f t="shared" si="1"/>
        <v>100</v>
      </c>
      <c r="K6">
        <f t="shared" si="2"/>
        <v>19.042495965572893</v>
      </c>
      <c r="L6">
        <f t="shared" si="3"/>
        <v>34.238838084991933</v>
      </c>
      <c r="M6">
        <f t="shared" si="4"/>
        <v>37.762237762237767</v>
      </c>
      <c r="N6">
        <f t="shared" si="5"/>
        <v>8.9564281871974192</v>
      </c>
    </row>
    <row r="7" spans="3:14" x14ac:dyDescent="0.2">
      <c r="C7" s="5">
        <v>65.720679483267219</v>
      </c>
      <c r="D7" s="5">
        <v>7.8120231919438528</v>
      </c>
      <c r="E7" s="5">
        <v>10.761875699318484</v>
      </c>
      <c r="F7" s="5">
        <v>11.860441460685587</v>
      </c>
      <c r="G7" s="5">
        <v>3.844980164784864</v>
      </c>
      <c r="H7" s="18">
        <f t="shared" si="1"/>
        <v>100</v>
      </c>
      <c r="K7">
        <f t="shared" si="2"/>
        <v>22.789317507418399</v>
      </c>
      <c r="L7">
        <f t="shared" si="3"/>
        <v>31.394658753709198</v>
      </c>
      <c r="M7">
        <f t="shared" si="4"/>
        <v>34.59940652818991</v>
      </c>
      <c r="N7">
        <f t="shared" si="5"/>
        <v>11.216617210682491</v>
      </c>
    </row>
    <row r="8" spans="3:14" x14ac:dyDescent="0.2">
      <c r="C8" s="5">
        <v>67.890870933892984</v>
      </c>
      <c r="D8" s="5">
        <v>9.9685204616998959</v>
      </c>
      <c r="E8" s="5">
        <v>2.5183630640083945</v>
      </c>
      <c r="F8" s="5">
        <v>10.073452256033578</v>
      </c>
      <c r="G8" s="5">
        <v>9.5487932843651624</v>
      </c>
      <c r="H8" s="18">
        <f t="shared" si="1"/>
        <v>100.00000000000001</v>
      </c>
      <c r="K8">
        <f t="shared" si="2"/>
        <v>31.045751633986928</v>
      </c>
      <c r="L8">
        <f t="shared" si="3"/>
        <v>7.8431372549019605</v>
      </c>
      <c r="M8">
        <f t="shared" si="4"/>
        <v>31.372549019607842</v>
      </c>
      <c r="N8">
        <f t="shared" si="5"/>
        <v>29.738562091503269</v>
      </c>
    </row>
    <row r="9" spans="3:14" x14ac:dyDescent="0.2">
      <c r="C9" s="5">
        <v>70.981210855949897</v>
      </c>
      <c r="D9" s="5">
        <v>8.4551148225469728</v>
      </c>
      <c r="E9" s="5">
        <v>2.2964509394572028</v>
      </c>
      <c r="F9" s="5">
        <v>10.855949895615867</v>
      </c>
      <c r="G9" s="5">
        <v>7.4112734864300629</v>
      </c>
      <c r="H9" s="18">
        <f t="shared" si="1"/>
        <v>100</v>
      </c>
      <c r="K9">
        <f t="shared" si="2"/>
        <v>29.136690647482016</v>
      </c>
      <c r="L9">
        <f t="shared" si="3"/>
        <v>7.913669064748202</v>
      </c>
      <c r="M9">
        <f t="shared" si="4"/>
        <v>37.410071942446045</v>
      </c>
      <c r="N9">
        <f t="shared" si="5"/>
        <v>25.539568345323744</v>
      </c>
    </row>
    <row r="10" spans="3:14" x14ac:dyDescent="0.2">
      <c r="C10" s="5">
        <v>67.120418848167546</v>
      </c>
      <c r="D10" s="5">
        <v>9.5287958115183251</v>
      </c>
      <c r="E10" s="5">
        <v>2.9319371727748686</v>
      </c>
      <c r="F10" s="5">
        <v>9.5287958115183251</v>
      </c>
      <c r="G10" s="5">
        <v>10.890052356020943</v>
      </c>
      <c r="H10" s="18">
        <f t="shared" si="1"/>
        <v>100</v>
      </c>
      <c r="K10">
        <f t="shared" si="2"/>
        <v>28.980891719745223</v>
      </c>
      <c r="L10">
        <f t="shared" si="3"/>
        <v>8.9171974522292974</v>
      </c>
      <c r="M10">
        <f t="shared" si="4"/>
        <v>28.980891719745223</v>
      </c>
      <c r="N10">
        <f t="shared" si="5"/>
        <v>33.121019108280258</v>
      </c>
    </row>
    <row r="11" spans="3:14" x14ac:dyDescent="0.2">
      <c r="C11" s="5">
        <v>49.246231155778887</v>
      </c>
      <c r="D11" s="5">
        <v>27.035175879396984</v>
      </c>
      <c r="E11" s="5">
        <v>20.100502512562816</v>
      </c>
      <c r="F11" s="5">
        <v>1.4070351758793969</v>
      </c>
      <c r="G11" s="5">
        <v>2.2110552763819098</v>
      </c>
      <c r="H11" s="18">
        <f t="shared" si="1"/>
        <v>100</v>
      </c>
      <c r="K11">
        <f t="shared" si="2"/>
        <v>53.267326732673261</v>
      </c>
      <c r="L11">
        <f t="shared" si="3"/>
        <v>39.603960396039604</v>
      </c>
      <c r="M11">
        <f t="shared" si="4"/>
        <v>2.7722772277227716</v>
      </c>
      <c r="N11">
        <f t="shared" si="5"/>
        <v>4.3564356435643559</v>
      </c>
    </row>
    <row r="12" spans="3:14" x14ac:dyDescent="0.2">
      <c r="C12" s="5">
        <v>45.740365111561864</v>
      </c>
      <c r="D12" s="5">
        <v>30.527383367139954</v>
      </c>
      <c r="E12" s="5">
        <v>18.661257606490867</v>
      </c>
      <c r="F12" s="5">
        <v>1.6227180527383362</v>
      </c>
      <c r="G12" s="5">
        <v>3.4482758620689649</v>
      </c>
      <c r="H12" s="18">
        <f t="shared" si="1"/>
        <v>99.999999999999986</v>
      </c>
      <c r="K12">
        <f t="shared" si="2"/>
        <v>56.261682242990652</v>
      </c>
      <c r="L12">
        <f t="shared" si="3"/>
        <v>34.392523364485974</v>
      </c>
      <c r="M12">
        <f t="shared" si="4"/>
        <v>2.9906542056074761</v>
      </c>
      <c r="N12">
        <f t="shared" si="5"/>
        <v>6.3551401869158877</v>
      </c>
    </row>
    <row r="13" spans="3:14" x14ac:dyDescent="0.2">
      <c r="C13" s="5">
        <v>48.743718592964832</v>
      </c>
      <c r="D13" s="5">
        <v>27.236180904522616</v>
      </c>
      <c r="E13" s="5">
        <v>20.201005025125632</v>
      </c>
      <c r="F13" s="5">
        <v>1.7085427135678393</v>
      </c>
      <c r="G13" s="5">
        <v>2.1105527638190957</v>
      </c>
      <c r="H13" s="18">
        <f t="shared" si="1"/>
        <v>100.00000000000001</v>
      </c>
      <c r="K13">
        <f t="shared" si="2"/>
        <v>53.137254901960787</v>
      </c>
      <c r="L13">
        <f t="shared" si="3"/>
        <v>39.411764705882355</v>
      </c>
      <c r="M13">
        <f t="shared" si="4"/>
        <v>3.3333333333333335</v>
      </c>
      <c r="N13">
        <f t="shared" si="5"/>
        <v>4.117647058823529</v>
      </c>
    </row>
    <row r="14" spans="3:14" x14ac:dyDescent="0.2">
      <c r="C14" s="5">
        <v>50.756811301715445</v>
      </c>
      <c r="D14" s="5">
        <v>24.217961654894044</v>
      </c>
      <c r="E14" s="5">
        <v>19.677093844601412</v>
      </c>
      <c r="F14" s="5">
        <v>3.329969727547931</v>
      </c>
      <c r="G14" s="5">
        <v>2.0181634712411705</v>
      </c>
      <c r="H14" s="18">
        <f t="shared" si="1"/>
        <v>100</v>
      </c>
      <c r="K14">
        <f t="shared" si="2"/>
        <v>49.180327868852451</v>
      </c>
      <c r="L14">
        <f t="shared" si="3"/>
        <v>39.959016393442617</v>
      </c>
      <c r="M14">
        <f t="shared" si="4"/>
        <v>6.7622950819672125</v>
      </c>
      <c r="N14">
        <f t="shared" si="5"/>
        <v>4.0983606557377046</v>
      </c>
    </row>
    <row r="15" spans="3:14" x14ac:dyDescent="0.2">
      <c r="C15" s="5">
        <v>44.848484848484851</v>
      </c>
      <c r="D15" s="5">
        <v>31.111111111111111</v>
      </c>
      <c r="E15" s="5">
        <v>19.19191919191919</v>
      </c>
      <c r="F15" s="5">
        <v>1.6161616161616161</v>
      </c>
      <c r="G15" s="5">
        <v>3.2323232323232323</v>
      </c>
      <c r="H15" s="18">
        <f t="shared" si="1"/>
        <v>100.00000000000001</v>
      </c>
      <c r="K15">
        <f t="shared" si="2"/>
        <v>56.410256410256409</v>
      </c>
      <c r="L15">
        <f t="shared" si="3"/>
        <v>34.798534798534796</v>
      </c>
      <c r="M15">
        <f t="shared" si="4"/>
        <v>2.9304029304029302</v>
      </c>
      <c r="N15">
        <f t="shared" si="5"/>
        <v>5.8608058608058604</v>
      </c>
    </row>
    <row r="16" spans="3:14" x14ac:dyDescent="0.2">
      <c r="C16" s="5">
        <v>47.247247247247245</v>
      </c>
      <c r="D16" s="5">
        <v>29.129129129129122</v>
      </c>
      <c r="E16" s="5">
        <v>20.920920920920917</v>
      </c>
      <c r="F16" s="5">
        <v>1.2012012012012008</v>
      </c>
      <c r="G16" s="5">
        <v>1.5015015015015012</v>
      </c>
      <c r="H16" s="18">
        <f t="shared" si="1"/>
        <v>100</v>
      </c>
      <c r="K16">
        <f t="shared" si="2"/>
        <v>55.218216318785572</v>
      </c>
      <c r="L16">
        <f t="shared" si="3"/>
        <v>39.658444022770404</v>
      </c>
      <c r="M16">
        <f t="shared" si="4"/>
        <v>2.2770398481973428</v>
      </c>
      <c r="N16">
        <f t="shared" si="5"/>
        <v>2.8462998102466797</v>
      </c>
    </row>
    <row r="17" spans="3:14" x14ac:dyDescent="0.2">
      <c r="C17" s="5">
        <v>57.346938775510203</v>
      </c>
      <c r="D17" s="5">
        <v>15.000000000000002</v>
      </c>
      <c r="E17" s="5">
        <v>18.673469387755105</v>
      </c>
      <c r="F17" s="5">
        <v>3.1632653061224496</v>
      </c>
      <c r="G17" s="5">
        <v>5.8163265306122458</v>
      </c>
      <c r="H17" s="18">
        <f t="shared" si="1"/>
        <v>100.00000000000001</v>
      </c>
      <c r="K17">
        <f t="shared" si="2"/>
        <v>35.167464114832541</v>
      </c>
      <c r="L17">
        <f t="shared" si="3"/>
        <v>43.779904306220104</v>
      </c>
      <c r="M17">
        <f t="shared" si="4"/>
        <v>7.4162679425837332</v>
      </c>
      <c r="N17">
        <f t="shared" si="5"/>
        <v>13.636363636363638</v>
      </c>
    </row>
    <row r="18" spans="3:14" x14ac:dyDescent="0.2">
      <c r="C18" s="5">
        <v>46.478873239436624</v>
      </c>
      <c r="D18" s="5">
        <v>30.784708249496983</v>
      </c>
      <c r="E18" s="5">
        <v>17.6056338028169</v>
      </c>
      <c r="F18" s="5">
        <v>2.3138832997987921</v>
      </c>
      <c r="G18" s="5">
        <v>2.816901408450704</v>
      </c>
      <c r="H18" s="18">
        <f t="shared" si="1"/>
        <v>100</v>
      </c>
      <c r="K18">
        <f t="shared" si="2"/>
        <v>57.518796992481214</v>
      </c>
      <c r="L18">
        <f t="shared" si="3"/>
        <v>32.894736842105267</v>
      </c>
      <c r="M18">
        <f t="shared" si="4"/>
        <v>4.3233082706766908</v>
      </c>
      <c r="N18">
        <f t="shared" si="5"/>
        <v>5.2631578947368416</v>
      </c>
    </row>
    <row r="19" spans="3:14" x14ac:dyDescent="0.2">
      <c r="C19" s="5">
        <v>46.633165829145732</v>
      </c>
      <c r="D19" s="5">
        <v>28.341708542713572</v>
      </c>
      <c r="E19" s="5">
        <v>21.206030150753776</v>
      </c>
      <c r="F19" s="5">
        <v>1.5075376884422114</v>
      </c>
      <c r="G19" s="5">
        <v>2.3115577889447234</v>
      </c>
      <c r="H19" s="18">
        <f t="shared" si="1"/>
        <v>100.00000000000001</v>
      </c>
      <c r="K19">
        <f t="shared" si="2"/>
        <v>53.107344632768353</v>
      </c>
      <c r="L19">
        <f t="shared" si="3"/>
        <v>39.736346516007529</v>
      </c>
      <c r="M19">
        <f t="shared" si="4"/>
        <v>2.8248587570621466</v>
      </c>
      <c r="N19">
        <f t="shared" si="5"/>
        <v>4.3314500941619567</v>
      </c>
    </row>
    <row r="20" spans="3:14" x14ac:dyDescent="0.2">
      <c r="C20" s="5">
        <v>46.022155085599195</v>
      </c>
      <c r="D20" s="5">
        <v>29.7079556898288</v>
      </c>
      <c r="E20" s="5">
        <v>20.040281973816715</v>
      </c>
      <c r="F20" s="5">
        <v>1.7119838872104733</v>
      </c>
      <c r="G20" s="5">
        <v>2.5176233635448138</v>
      </c>
      <c r="H20" s="18">
        <f t="shared" si="1"/>
        <v>100</v>
      </c>
      <c r="K20">
        <f t="shared" si="2"/>
        <v>55.037313432835823</v>
      </c>
      <c r="L20">
        <f t="shared" si="3"/>
        <v>37.126865671641788</v>
      </c>
      <c r="M20">
        <f t="shared" si="4"/>
        <v>3.1716417910447769</v>
      </c>
      <c r="N20">
        <f t="shared" si="5"/>
        <v>4.6641791044776131</v>
      </c>
    </row>
    <row r="21" spans="3:14" x14ac:dyDescent="0.2">
      <c r="C21" s="5">
        <v>56.147540983606568</v>
      </c>
      <c r="D21" s="5">
        <v>14.03688524590164</v>
      </c>
      <c r="E21" s="5">
        <v>17.110655737704921</v>
      </c>
      <c r="F21" s="5">
        <v>5.2254098360655741</v>
      </c>
      <c r="G21" s="5">
        <v>7.4795081967213113</v>
      </c>
      <c r="H21" s="18">
        <f t="shared" si="1"/>
        <v>100.00000000000001</v>
      </c>
      <c r="K21">
        <f t="shared" si="2"/>
        <v>32.009345794392523</v>
      </c>
      <c r="L21">
        <f t="shared" si="3"/>
        <v>39.018691588785046</v>
      </c>
      <c r="M21">
        <f t="shared" si="4"/>
        <v>11.915887850467289</v>
      </c>
      <c r="N21">
        <f t="shared" si="5"/>
        <v>17.056074766355138</v>
      </c>
    </row>
    <row r="22" spans="3:14" x14ac:dyDescent="0.2">
      <c r="C22" s="5">
        <v>70.184426229508205</v>
      </c>
      <c r="D22" s="5">
        <v>6.7622950819672134</v>
      </c>
      <c r="E22" s="5">
        <v>4.918032786885246</v>
      </c>
      <c r="F22" s="5">
        <v>11.68032786885246</v>
      </c>
      <c r="G22" s="5">
        <v>6.4549180327868854</v>
      </c>
      <c r="H22" s="18">
        <f t="shared" si="1"/>
        <v>100</v>
      </c>
      <c r="K22">
        <f t="shared" si="2"/>
        <v>22.680412371134022</v>
      </c>
      <c r="L22">
        <f t="shared" si="3"/>
        <v>16.494845360824741</v>
      </c>
      <c r="M22">
        <f t="shared" si="4"/>
        <v>39.175257731958766</v>
      </c>
      <c r="N22">
        <f t="shared" si="5"/>
        <v>21.649484536082475</v>
      </c>
    </row>
    <row r="23" spans="3:14" x14ac:dyDescent="0.2">
      <c r="C23" s="5">
        <v>66.666666666666671</v>
      </c>
      <c r="D23" s="5">
        <v>8.3073727933541015</v>
      </c>
      <c r="E23" s="5">
        <v>4.7767393561786085</v>
      </c>
      <c r="F23" s="5">
        <v>12.045690550363448</v>
      </c>
      <c r="G23" s="5">
        <v>8.2035306334371754</v>
      </c>
      <c r="H23" s="18">
        <f t="shared" si="1"/>
        <v>100</v>
      </c>
      <c r="K23">
        <f t="shared" si="2"/>
        <v>24.922118380062301</v>
      </c>
      <c r="L23">
        <f t="shared" si="3"/>
        <v>14.330218068535824</v>
      </c>
      <c r="M23">
        <f t="shared" si="4"/>
        <v>36.137071651090338</v>
      </c>
      <c r="N23">
        <f t="shared" si="5"/>
        <v>24.610591900311523</v>
      </c>
    </row>
    <row r="24" spans="3:14" x14ac:dyDescent="0.2">
      <c r="C24" s="5">
        <v>69.642857142857153</v>
      </c>
      <c r="D24" s="5">
        <v>7.1428571428571423</v>
      </c>
      <c r="E24" s="5">
        <v>3.8865546218487395</v>
      </c>
      <c r="F24" s="5">
        <v>11.659663865546218</v>
      </c>
      <c r="G24" s="5">
        <v>7.6680672268907557</v>
      </c>
      <c r="H24" s="18">
        <f t="shared" si="1"/>
        <v>100.00000000000001</v>
      </c>
      <c r="K24">
        <f t="shared" si="2"/>
        <v>23.52941176470588</v>
      </c>
      <c r="L24">
        <f t="shared" si="3"/>
        <v>12.802768166089967</v>
      </c>
      <c r="M24">
        <f t="shared" si="4"/>
        <v>38.408304498269899</v>
      </c>
      <c r="N24">
        <f t="shared" si="5"/>
        <v>25.259515570934255</v>
      </c>
    </row>
    <row r="25" spans="3:14" x14ac:dyDescent="0.2">
      <c r="C25" s="5">
        <v>67.9089026915114</v>
      </c>
      <c r="D25" s="5">
        <v>8.9026915113871627</v>
      </c>
      <c r="E25" s="5">
        <v>5.4865424430641827</v>
      </c>
      <c r="F25" s="5">
        <v>10.144927536231885</v>
      </c>
      <c r="G25" s="5">
        <v>7.5569358178053836</v>
      </c>
      <c r="H25" s="18">
        <f t="shared" si="1"/>
        <v>100.00000000000001</v>
      </c>
      <c r="K25">
        <f t="shared" si="2"/>
        <v>27.741935483870968</v>
      </c>
      <c r="L25">
        <f t="shared" si="3"/>
        <v>17.096774193548388</v>
      </c>
      <c r="M25">
        <f t="shared" si="4"/>
        <v>31.612903225806456</v>
      </c>
      <c r="N25">
        <f t="shared" si="5"/>
        <v>23.548387096774196</v>
      </c>
    </row>
    <row r="26" spans="3:14" x14ac:dyDescent="0.2">
      <c r="C26" s="5">
        <v>64.482029598308671</v>
      </c>
      <c r="D26" s="5">
        <v>10.147991543340378</v>
      </c>
      <c r="E26" s="5">
        <v>4.7568710359408035</v>
      </c>
      <c r="F26" s="5">
        <v>11.522198731501057</v>
      </c>
      <c r="G26" s="5">
        <v>9.0909090909090899</v>
      </c>
      <c r="H26" s="18">
        <f t="shared" si="1"/>
        <v>100</v>
      </c>
      <c r="K26">
        <f t="shared" si="2"/>
        <v>28.571428571428569</v>
      </c>
      <c r="L26">
        <f t="shared" si="3"/>
        <v>13.392857142857146</v>
      </c>
      <c r="M26">
        <f t="shared" si="4"/>
        <v>32.44047619047619</v>
      </c>
      <c r="N26">
        <f t="shared" si="5"/>
        <v>25.595238095238095</v>
      </c>
    </row>
    <row r="27" spans="3:14" x14ac:dyDescent="0.2">
      <c r="C27" s="5">
        <v>56.996935648621047</v>
      </c>
      <c r="D27" s="5">
        <v>10.112359550561798</v>
      </c>
      <c r="E27" s="5">
        <v>11.848825331971401</v>
      </c>
      <c r="F27" s="5">
        <v>14.606741573033711</v>
      </c>
      <c r="G27" s="5">
        <v>6.4351378958120531</v>
      </c>
      <c r="H27" s="18">
        <f t="shared" si="1"/>
        <v>100</v>
      </c>
      <c r="K27">
        <f t="shared" si="2"/>
        <v>23.51543942992874</v>
      </c>
      <c r="L27">
        <f t="shared" si="3"/>
        <v>27.553444180522561</v>
      </c>
      <c r="M27">
        <f t="shared" si="4"/>
        <v>33.966745843230406</v>
      </c>
      <c r="N27">
        <f t="shared" si="5"/>
        <v>14.964370546318287</v>
      </c>
    </row>
    <row r="28" spans="3:14" x14ac:dyDescent="0.2">
      <c r="C28" s="5">
        <v>61.6243654822335</v>
      </c>
      <c r="D28" s="5">
        <v>8.0203045685279193</v>
      </c>
      <c r="E28" s="5">
        <v>11.065989847715736</v>
      </c>
      <c r="F28" s="5">
        <v>14.31472081218274</v>
      </c>
      <c r="G28" s="5">
        <v>4.9746192893401018</v>
      </c>
      <c r="H28" s="18">
        <f t="shared" si="1"/>
        <v>100</v>
      </c>
      <c r="K28">
        <f t="shared" si="2"/>
        <v>20.899470899470899</v>
      </c>
      <c r="L28">
        <f t="shared" si="3"/>
        <v>28.835978835978832</v>
      </c>
      <c r="M28">
        <f t="shared" si="4"/>
        <v>37.301587301587297</v>
      </c>
      <c r="N28">
        <f t="shared" si="5"/>
        <v>12.962962962962962</v>
      </c>
    </row>
    <row r="29" spans="3:14" x14ac:dyDescent="0.2">
      <c r="C29" s="5">
        <v>65.885947046843171</v>
      </c>
      <c r="D29" s="5">
        <v>6.0081466395112022</v>
      </c>
      <c r="E29" s="5">
        <v>7.7393075356415473</v>
      </c>
      <c r="F29" s="5">
        <v>13.645621181262729</v>
      </c>
      <c r="G29" s="5">
        <v>6.7209775967413439</v>
      </c>
      <c r="H29" s="18">
        <f t="shared" si="1"/>
        <v>99.999999999999986</v>
      </c>
      <c r="K29">
        <f t="shared" si="2"/>
        <v>17.611940298507463</v>
      </c>
      <c r="L29">
        <f t="shared" si="3"/>
        <v>22.686567164179102</v>
      </c>
      <c r="M29">
        <f t="shared" si="4"/>
        <v>40</v>
      </c>
      <c r="N29">
        <f t="shared" si="5"/>
        <v>19.701492537313435</v>
      </c>
    </row>
    <row r="30" spans="3:14" x14ac:dyDescent="0.2">
      <c r="C30" s="5">
        <v>63.441955193482677</v>
      </c>
      <c r="D30" s="5">
        <v>8.0448065173116099</v>
      </c>
      <c r="E30" s="5">
        <v>8.8594704684317716</v>
      </c>
      <c r="F30" s="5">
        <v>12.525458248472503</v>
      </c>
      <c r="G30" s="5">
        <v>7.1283095723014247</v>
      </c>
      <c r="H30" s="18">
        <f t="shared" si="1"/>
        <v>99.999999999999972</v>
      </c>
      <c r="K30">
        <f t="shared" si="2"/>
        <v>22.005571030640674</v>
      </c>
      <c r="L30">
        <f t="shared" si="3"/>
        <v>24.233983286908078</v>
      </c>
      <c r="M30">
        <f t="shared" si="4"/>
        <v>34.261838440111418</v>
      </c>
      <c r="N30">
        <f t="shared" si="5"/>
        <v>19.498607242339833</v>
      </c>
    </row>
    <row r="31" spans="3:14" x14ac:dyDescent="0.2">
      <c r="C31" s="5">
        <v>59.506680369989731</v>
      </c>
      <c r="D31" s="5">
        <v>9.4552929085303177</v>
      </c>
      <c r="E31" s="5">
        <v>9.3525179856115113</v>
      </c>
      <c r="F31" s="5">
        <v>13.1551901336074</v>
      </c>
      <c r="G31" s="5">
        <v>8.5303186022610493</v>
      </c>
      <c r="H31" s="18">
        <f t="shared" si="1"/>
        <v>100.00000000000001</v>
      </c>
      <c r="K31">
        <f t="shared" si="2"/>
        <v>23.350253807106597</v>
      </c>
      <c r="L31">
        <f t="shared" si="3"/>
        <v>23.096446700507617</v>
      </c>
      <c r="M31">
        <f t="shared" si="4"/>
        <v>32.487309644670056</v>
      </c>
      <c r="N31">
        <f t="shared" si="5"/>
        <v>21.065989847715738</v>
      </c>
    </row>
    <row r="32" spans="3:14" x14ac:dyDescent="0.2">
      <c r="C32" s="5">
        <v>62</v>
      </c>
      <c r="D32" s="5">
        <v>7.2499999999999991</v>
      </c>
      <c r="E32" s="5">
        <v>11.5</v>
      </c>
      <c r="F32" s="5">
        <v>17</v>
      </c>
      <c r="G32" s="5">
        <v>2.25</v>
      </c>
      <c r="H32" s="18">
        <f t="shared" si="1"/>
        <v>100</v>
      </c>
      <c r="K32">
        <f t="shared" si="2"/>
        <v>19.078947368421051</v>
      </c>
      <c r="L32">
        <f t="shared" si="3"/>
        <v>30.263157894736842</v>
      </c>
      <c r="M32">
        <f t="shared" si="4"/>
        <v>44.736842105263158</v>
      </c>
      <c r="N32">
        <f t="shared" si="5"/>
        <v>5.9210526315789469</v>
      </c>
    </row>
    <row r="33" spans="3:14" x14ac:dyDescent="0.2">
      <c r="C33" s="5">
        <v>57.4</v>
      </c>
      <c r="D33" s="5">
        <v>6.5</v>
      </c>
      <c r="E33" s="5">
        <v>13.750000000000002</v>
      </c>
      <c r="F33" s="5">
        <v>18.75</v>
      </c>
      <c r="G33" s="5">
        <v>3.6000000000000005</v>
      </c>
      <c r="H33" s="18">
        <f t="shared" si="1"/>
        <v>100</v>
      </c>
      <c r="K33">
        <f t="shared" si="2"/>
        <v>15.258215962441312</v>
      </c>
      <c r="L33">
        <f t="shared" si="3"/>
        <v>32.276995305164327</v>
      </c>
      <c r="M33">
        <f t="shared" si="4"/>
        <v>44.014084507042249</v>
      </c>
      <c r="N33">
        <f t="shared" si="5"/>
        <v>8.4507042253521139</v>
      </c>
    </row>
    <row r="34" spans="3:14" x14ac:dyDescent="0.2">
      <c r="C34" s="5">
        <v>53</v>
      </c>
      <c r="D34" s="5">
        <v>7.2499999999999991</v>
      </c>
      <c r="E34" s="5">
        <v>17.25</v>
      </c>
      <c r="F34" s="5">
        <v>19</v>
      </c>
      <c r="G34" s="5">
        <v>3.5000000000000004</v>
      </c>
      <c r="H34" s="18">
        <f t="shared" si="1"/>
        <v>100</v>
      </c>
      <c r="K34">
        <f t="shared" si="2"/>
        <v>15.425531914893615</v>
      </c>
      <c r="L34">
        <f t="shared" si="3"/>
        <v>36.702127659574465</v>
      </c>
      <c r="M34">
        <f t="shared" si="4"/>
        <v>40.425531914893611</v>
      </c>
      <c r="N34">
        <f t="shared" si="5"/>
        <v>7.4468085106382986</v>
      </c>
    </row>
    <row r="35" spans="3:14" x14ac:dyDescent="0.2">
      <c r="C35" s="5">
        <v>51.749999999999993</v>
      </c>
      <c r="D35" s="5">
        <v>9.5</v>
      </c>
      <c r="E35" s="5">
        <v>18.75</v>
      </c>
      <c r="F35" s="5">
        <v>17</v>
      </c>
      <c r="G35" s="5">
        <v>3</v>
      </c>
      <c r="H35" s="18">
        <f t="shared" si="1"/>
        <v>100</v>
      </c>
      <c r="K35">
        <f t="shared" si="2"/>
        <v>19.689119170984455</v>
      </c>
      <c r="L35">
        <f t="shared" si="3"/>
        <v>38.860103626943001</v>
      </c>
      <c r="M35">
        <f t="shared" si="4"/>
        <v>35.233160621761655</v>
      </c>
      <c r="N35">
        <f t="shared" si="5"/>
        <v>6.2176165803108807</v>
      </c>
    </row>
    <row r="36" spans="3:14" x14ac:dyDescent="0.2">
      <c r="C36" s="5">
        <v>50.749999999999993</v>
      </c>
      <c r="D36" s="5">
        <v>12.25</v>
      </c>
      <c r="E36" s="5">
        <v>20</v>
      </c>
      <c r="F36" s="5">
        <v>14.000000000000002</v>
      </c>
      <c r="G36" s="5">
        <v>3</v>
      </c>
      <c r="H36" s="18">
        <f t="shared" si="1"/>
        <v>100</v>
      </c>
      <c r="K36">
        <f t="shared" si="2"/>
        <v>24.873096446700508</v>
      </c>
      <c r="L36">
        <f t="shared" si="3"/>
        <v>40.609137055837564</v>
      </c>
      <c r="M36">
        <f t="shared" si="4"/>
        <v>28.426395939086298</v>
      </c>
      <c r="N36">
        <f t="shared" si="5"/>
        <v>6.091370558375635</v>
      </c>
    </row>
    <row r="37" spans="3:14" x14ac:dyDescent="0.2">
      <c r="C37" s="5">
        <v>55.75</v>
      </c>
      <c r="D37" s="5">
        <v>7.5</v>
      </c>
      <c r="E37" s="5">
        <v>15.75</v>
      </c>
      <c r="F37" s="5">
        <v>18</v>
      </c>
      <c r="G37" s="5">
        <v>3</v>
      </c>
      <c r="H37" s="18">
        <f t="shared" si="1"/>
        <v>100</v>
      </c>
      <c r="K37">
        <f t="shared" si="2"/>
        <v>16.949152542372879</v>
      </c>
      <c r="L37">
        <f t="shared" si="3"/>
        <v>35.593220338983052</v>
      </c>
      <c r="M37">
        <f t="shared" si="4"/>
        <v>40.677966101694921</v>
      </c>
      <c r="N37">
        <f t="shared" si="5"/>
        <v>6.7796610169491522</v>
      </c>
    </row>
    <row r="38" spans="3:14" x14ac:dyDescent="0.2">
      <c r="C38" s="5">
        <v>54.280000000000008</v>
      </c>
      <c r="D38" s="5">
        <v>5.55</v>
      </c>
      <c r="E38" s="5">
        <v>16.62</v>
      </c>
      <c r="F38" s="5">
        <v>19.239999999999998</v>
      </c>
      <c r="G38" s="5">
        <v>4.3099999999999996</v>
      </c>
      <c r="H38" s="18">
        <f t="shared" si="1"/>
        <v>100</v>
      </c>
      <c r="K38">
        <f t="shared" si="2"/>
        <v>12.139107611548557</v>
      </c>
      <c r="L38">
        <f t="shared" si="3"/>
        <v>36.351706036745412</v>
      </c>
      <c r="M38">
        <f t="shared" si="4"/>
        <v>42.082239720034991</v>
      </c>
      <c r="N38">
        <f t="shared" si="5"/>
        <v>9.42694663167104</v>
      </c>
    </row>
    <row r="39" spans="3:14" x14ac:dyDescent="0.2">
      <c r="C39" s="5">
        <v>57.499999999999993</v>
      </c>
      <c r="D39" s="5">
        <v>5</v>
      </c>
      <c r="E39" s="5">
        <v>14.75</v>
      </c>
      <c r="F39" s="5">
        <v>19.75</v>
      </c>
      <c r="G39" s="5">
        <v>3</v>
      </c>
      <c r="H39" s="18">
        <f t="shared" si="1"/>
        <v>100</v>
      </c>
      <c r="K39">
        <f t="shared" si="2"/>
        <v>11.76470588235294</v>
      </c>
      <c r="L39">
        <f t="shared" si="3"/>
        <v>34.705882352941174</v>
      </c>
      <c r="M39">
        <f t="shared" si="4"/>
        <v>46.470588235294116</v>
      </c>
      <c r="N39">
        <f t="shared" si="5"/>
        <v>7.0588235294117645</v>
      </c>
    </row>
    <row r="40" spans="3:14" x14ac:dyDescent="0.2">
      <c r="C40" s="5">
        <v>58.5</v>
      </c>
      <c r="D40" s="5">
        <v>4</v>
      </c>
      <c r="E40" s="5">
        <v>13.750000000000002</v>
      </c>
      <c r="F40" s="5">
        <v>21</v>
      </c>
      <c r="G40" s="5">
        <v>2.75</v>
      </c>
      <c r="H40" s="18">
        <f t="shared" si="1"/>
        <v>100</v>
      </c>
      <c r="K40">
        <f t="shared" si="2"/>
        <v>9.6385542168674707</v>
      </c>
      <c r="L40">
        <f t="shared" si="3"/>
        <v>33.132530120481931</v>
      </c>
      <c r="M40">
        <f t="shared" si="4"/>
        <v>50.602409638554214</v>
      </c>
      <c r="N40">
        <f t="shared" si="5"/>
        <v>6.6265060240963862</v>
      </c>
    </row>
    <row r="41" spans="3:14" x14ac:dyDescent="0.2">
      <c r="C41" s="5">
        <v>61</v>
      </c>
      <c r="D41" s="5">
        <v>6</v>
      </c>
      <c r="E41" s="5">
        <v>15</v>
      </c>
      <c r="F41" s="5">
        <v>15</v>
      </c>
      <c r="G41" s="5">
        <v>3</v>
      </c>
      <c r="H41" s="18">
        <f t="shared" si="1"/>
        <v>100</v>
      </c>
      <c r="K41">
        <f t="shared" si="2"/>
        <v>15.384615384615385</v>
      </c>
      <c r="L41">
        <f t="shared" si="3"/>
        <v>38.461538461538467</v>
      </c>
      <c r="M41">
        <f t="shared" si="4"/>
        <v>38.461538461538467</v>
      </c>
      <c r="N41">
        <f t="shared" si="5"/>
        <v>7.6923076923076925</v>
      </c>
    </row>
    <row r="42" spans="3:14" x14ac:dyDescent="0.2">
      <c r="C42" s="5">
        <v>59.75</v>
      </c>
      <c r="D42" s="5">
        <v>6</v>
      </c>
      <c r="E42" s="5">
        <v>14.499999999999998</v>
      </c>
      <c r="F42" s="5">
        <v>17.5</v>
      </c>
      <c r="G42" s="5">
        <v>2.25</v>
      </c>
      <c r="H42" s="18">
        <f t="shared" si="1"/>
        <v>100</v>
      </c>
      <c r="K42">
        <f t="shared" si="2"/>
        <v>14.906832298136646</v>
      </c>
      <c r="L42">
        <f t="shared" si="3"/>
        <v>36.024844720496887</v>
      </c>
      <c r="M42">
        <f t="shared" si="4"/>
        <v>43.478260869565219</v>
      </c>
      <c r="N42">
        <f t="shared" si="5"/>
        <v>5.5900621118012426</v>
      </c>
    </row>
    <row r="43" spans="3:14" x14ac:dyDescent="0.2">
      <c r="C43" s="5">
        <v>55.25</v>
      </c>
      <c r="D43" s="5">
        <v>8</v>
      </c>
      <c r="E43" s="5">
        <v>15</v>
      </c>
      <c r="F43" s="5">
        <v>19</v>
      </c>
      <c r="G43" s="5">
        <v>2.75</v>
      </c>
      <c r="H43" s="18">
        <f t="shared" si="1"/>
        <v>100</v>
      </c>
      <c r="K43">
        <f t="shared" si="2"/>
        <v>17.877094972067038</v>
      </c>
      <c r="L43">
        <f t="shared" si="3"/>
        <v>33.519553072625698</v>
      </c>
      <c r="M43">
        <f t="shared" si="4"/>
        <v>42.458100558659218</v>
      </c>
      <c r="N43">
        <f t="shared" si="5"/>
        <v>6.1452513966480442</v>
      </c>
    </row>
    <row r="44" spans="3:14" x14ac:dyDescent="0.2">
      <c r="C44" s="5">
        <v>50</v>
      </c>
      <c r="D44" s="5">
        <v>14.499999999999998</v>
      </c>
      <c r="E44" s="5">
        <v>16</v>
      </c>
      <c r="F44" s="5">
        <v>16.75</v>
      </c>
      <c r="G44" s="5">
        <v>2.75</v>
      </c>
      <c r="H44" s="18">
        <f t="shared" si="1"/>
        <v>100</v>
      </c>
      <c r="K44">
        <f t="shared" si="2"/>
        <v>28.999999999999996</v>
      </c>
      <c r="L44">
        <f t="shared" si="3"/>
        <v>32</v>
      </c>
      <c r="M44">
        <f t="shared" si="4"/>
        <v>33.5</v>
      </c>
      <c r="N44">
        <f t="shared" si="5"/>
        <v>5.5</v>
      </c>
    </row>
    <row r="45" spans="3:14" x14ac:dyDescent="0.2">
      <c r="C45" s="5">
        <v>46.7</v>
      </c>
      <c r="D45" s="5">
        <v>19.5</v>
      </c>
      <c r="E45" s="5">
        <v>17.8</v>
      </c>
      <c r="F45" s="5">
        <v>13.25</v>
      </c>
      <c r="G45" s="5">
        <v>2.75</v>
      </c>
      <c r="H45" s="18">
        <f t="shared" si="1"/>
        <v>100</v>
      </c>
      <c r="K45">
        <f t="shared" si="2"/>
        <v>36.585365853658537</v>
      </c>
      <c r="L45">
        <f t="shared" si="3"/>
        <v>33.39587242026267</v>
      </c>
      <c r="M45">
        <f t="shared" si="4"/>
        <v>24.859287054409009</v>
      </c>
      <c r="N45">
        <f t="shared" si="5"/>
        <v>5.1594746716697939</v>
      </c>
    </row>
    <row r="46" spans="3:14" x14ac:dyDescent="0.2">
      <c r="C46" s="5">
        <v>1.5706806282722512</v>
      </c>
      <c r="D46" s="5">
        <v>23.036649214659686</v>
      </c>
      <c r="E46" s="5">
        <v>44.502617801047123</v>
      </c>
      <c r="F46" s="5">
        <v>21.98952879581152</v>
      </c>
      <c r="G46" s="5">
        <v>8.9005235602094235</v>
      </c>
      <c r="H46" s="18">
        <f t="shared" si="1"/>
        <v>100</v>
      </c>
      <c r="K46">
        <f t="shared" si="2"/>
        <v>23.404255319148934</v>
      </c>
      <c r="L46">
        <f t="shared" si="3"/>
        <v>45.212765957446805</v>
      </c>
      <c r="M46">
        <f t="shared" si="4"/>
        <v>22.340425531914892</v>
      </c>
      <c r="N46">
        <f t="shared" si="5"/>
        <v>9.0425531914893611</v>
      </c>
    </row>
    <row r="47" spans="3:14" x14ac:dyDescent="0.2">
      <c r="C47" s="5">
        <v>2.5906735751295336</v>
      </c>
      <c r="D47" s="5">
        <v>29.015544041450774</v>
      </c>
      <c r="E47" s="5">
        <v>40.414507772020727</v>
      </c>
      <c r="F47" s="5">
        <v>19.689119170984455</v>
      </c>
      <c r="G47" s="5">
        <v>8.2901554404145088</v>
      </c>
      <c r="H47" s="18">
        <f t="shared" si="1"/>
        <v>100</v>
      </c>
      <c r="K47">
        <f t="shared" si="2"/>
        <v>29.787234042553191</v>
      </c>
      <c r="L47">
        <f t="shared" si="3"/>
        <v>41.489361702127667</v>
      </c>
      <c r="M47">
        <f t="shared" si="4"/>
        <v>20.212765957446809</v>
      </c>
      <c r="N47">
        <f t="shared" si="5"/>
        <v>8.5106382978723421</v>
      </c>
    </row>
    <row r="48" spans="3:14" x14ac:dyDescent="0.2">
      <c r="C48" s="5">
        <v>1.5544041450777202</v>
      </c>
      <c r="D48" s="5">
        <v>33.160621761658035</v>
      </c>
      <c r="E48" s="5">
        <v>38.860103626943001</v>
      </c>
      <c r="F48" s="5">
        <v>18.652849740932641</v>
      </c>
      <c r="G48" s="5">
        <v>7.7720207253886011</v>
      </c>
      <c r="H48" s="18">
        <f t="shared" si="1"/>
        <v>100</v>
      </c>
      <c r="K48">
        <f t="shared" si="2"/>
        <v>33.684210526315795</v>
      </c>
      <c r="L48">
        <f t="shared" si="3"/>
        <v>39.473684210526315</v>
      </c>
      <c r="M48">
        <f t="shared" si="4"/>
        <v>18.947368421052634</v>
      </c>
      <c r="N48">
        <f t="shared" si="5"/>
        <v>7.8947368421052637</v>
      </c>
    </row>
    <row r="49" spans="3:14" x14ac:dyDescent="0.2">
      <c r="C49" s="5">
        <v>1.0256410256410255</v>
      </c>
      <c r="D49" s="5">
        <v>37.435897435897438</v>
      </c>
      <c r="E49" s="5">
        <v>34.871794871794869</v>
      </c>
      <c r="F49" s="5">
        <v>18.974358974358974</v>
      </c>
      <c r="G49" s="5">
        <v>7.6923076923076925</v>
      </c>
      <c r="H49" s="18">
        <f t="shared" si="1"/>
        <v>100.00000000000001</v>
      </c>
      <c r="K49">
        <f t="shared" si="2"/>
        <v>37.823834196891191</v>
      </c>
      <c r="L49">
        <f t="shared" si="3"/>
        <v>35.233160621761655</v>
      </c>
      <c r="M49">
        <f t="shared" si="4"/>
        <v>19.170984455958546</v>
      </c>
      <c r="N49">
        <f t="shared" si="5"/>
        <v>7.7720207253886011</v>
      </c>
    </row>
    <row r="50" spans="3:14" x14ac:dyDescent="0.2">
      <c r="C50" s="5">
        <v>1.0101010101010102</v>
      </c>
      <c r="D50" s="5">
        <v>39.393939393939391</v>
      </c>
      <c r="E50" s="5">
        <v>33.838383838383841</v>
      </c>
      <c r="F50" s="5">
        <v>19.19191919191919</v>
      </c>
      <c r="G50" s="5">
        <v>6.5656565656565666</v>
      </c>
      <c r="H50" s="18">
        <f t="shared" si="1"/>
        <v>100.00000000000001</v>
      </c>
      <c r="K50">
        <f t="shared" si="2"/>
        <v>39.795918367346928</v>
      </c>
      <c r="L50">
        <f t="shared" si="3"/>
        <v>34.183673469387756</v>
      </c>
      <c r="M50">
        <f t="shared" si="4"/>
        <v>19.387755102040813</v>
      </c>
      <c r="N50">
        <f t="shared" si="5"/>
        <v>6.6326530612244898</v>
      </c>
    </row>
    <row r="51" spans="3:14" x14ac:dyDescent="0.2">
      <c r="C51" s="5">
        <v>1.5463917525773196</v>
      </c>
      <c r="D51" s="5">
        <v>33.505154639175252</v>
      </c>
      <c r="E51" s="5">
        <v>38.659793814432994</v>
      </c>
      <c r="F51" s="5">
        <v>18.298969072164947</v>
      </c>
      <c r="G51" s="5">
        <v>7.9896907216494837</v>
      </c>
      <c r="H51" s="18">
        <f t="shared" si="1"/>
        <v>100</v>
      </c>
      <c r="K51">
        <f t="shared" si="2"/>
        <v>34.031413612565444</v>
      </c>
      <c r="L51">
        <f t="shared" si="3"/>
        <v>39.267015706806291</v>
      </c>
      <c r="M51">
        <f t="shared" si="4"/>
        <v>18.586387434554975</v>
      </c>
      <c r="N51">
        <f t="shared" si="5"/>
        <v>8.1151832460732969</v>
      </c>
    </row>
    <row r="52" spans="3:14" x14ac:dyDescent="0.2">
      <c r="C52" s="5">
        <v>0.77319587628865982</v>
      </c>
      <c r="D52" s="5">
        <v>32.989690721649481</v>
      </c>
      <c r="E52" s="5">
        <v>40.206185567010309</v>
      </c>
      <c r="F52" s="5">
        <v>18.041237113402062</v>
      </c>
      <c r="G52" s="5">
        <v>7.9896907216494837</v>
      </c>
      <c r="H52" s="18">
        <f t="shared" si="1"/>
        <v>99.999999999999986</v>
      </c>
      <c r="K52">
        <f t="shared" si="2"/>
        <v>33.246753246753244</v>
      </c>
      <c r="L52">
        <f t="shared" si="3"/>
        <v>40.519480519480524</v>
      </c>
      <c r="M52">
        <f t="shared" si="4"/>
        <v>18.181818181818183</v>
      </c>
      <c r="N52">
        <f t="shared" si="5"/>
        <v>8.0519480519480524</v>
      </c>
    </row>
    <row r="53" spans="3:14" x14ac:dyDescent="0.2">
      <c r="C53" s="5">
        <v>0</v>
      </c>
      <c r="D53" s="5">
        <v>32.989690721649481</v>
      </c>
      <c r="E53" s="5">
        <v>41.237113402061851</v>
      </c>
      <c r="F53" s="5">
        <v>18.041237113402062</v>
      </c>
      <c r="G53" s="5">
        <v>7.731958762886598</v>
      </c>
      <c r="H53" s="18">
        <f t="shared" si="1"/>
        <v>99.999999999999986</v>
      </c>
      <c r="K53">
        <f t="shared" si="2"/>
        <v>32.989690721649481</v>
      </c>
      <c r="L53">
        <f t="shared" si="3"/>
        <v>41.237113402061858</v>
      </c>
      <c r="M53">
        <f t="shared" si="4"/>
        <v>18.041237113402065</v>
      </c>
      <c r="N53">
        <f t="shared" si="5"/>
        <v>7.7319587628865998</v>
      </c>
    </row>
    <row r="54" spans="3:14" x14ac:dyDescent="0.2">
      <c r="C54" s="5">
        <v>0.51413881748071977</v>
      </c>
      <c r="D54" s="5">
        <v>32.904884318766065</v>
      </c>
      <c r="E54" s="5">
        <v>40.102827763496144</v>
      </c>
      <c r="F54" s="5">
        <v>18.766066838046271</v>
      </c>
      <c r="G54" s="5">
        <v>7.7120822622107967</v>
      </c>
      <c r="H54" s="18">
        <f t="shared" si="1"/>
        <v>100</v>
      </c>
      <c r="K54">
        <f t="shared" si="2"/>
        <v>33.0749354005168</v>
      </c>
      <c r="L54">
        <f t="shared" si="3"/>
        <v>40.310077519379853</v>
      </c>
      <c r="M54">
        <f t="shared" si="4"/>
        <v>18.863049095607234</v>
      </c>
      <c r="N54">
        <f t="shared" si="5"/>
        <v>7.7519379844961236</v>
      </c>
    </row>
    <row r="55" spans="3:14" x14ac:dyDescent="0.2">
      <c r="C55" s="5">
        <v>0.51282051282051277</v>
      </c>
      <c r="D55" s="5">
        <v>33.333333333333329</v>
      </c>
      <c r="E55" s="5">
        <v>38.461538461538467</v>
      </c>
      <c r="F55" s="5">
        <v>20.256410256410255</v>
      </c>
      <c r="G55" s="5">
        <v>7.4358974358974361</v>
      </c>
      <c r="H55" s="18">
        <f t="shared" si="1"/>
        <v>100</v>
      </c>
      <c r="K55">
        <f t="shared" si="2"/>
        <v>33.505154639175252</v>
      </c>
      <c r="L55">
        <f t="shared" si="3"/>
        <v>38.659793814433002</v>
      </c>
      <c r="M55">
        <f t="shared" si="4"/>
        <v>20.360824742268044</v>
      </c>
      <c r="N55">
        <f t="shared" si="5"/>
        <v>7.4742268041237123</v>
      </c>
    </row>
    <row r="56" spans="3:14" x14ac:dyDescent="0.2">
      <c r="C56" s="5">
        <v>0</v>
      </c>
      <c r="D56" s="5">
        <v>33.673469387755098</v>
      </c>
      <c r="E56" s="5">
        <v>43.877551020408163</v>
      </c>
      <c r="F56" s="5">
        <v>16.326530612244898</v>
      </c>
      <c r="G56" s="5">
        <v>6.1224489795918364</v>
      </c>
      <c r="H56" s="18">
        <f t="shared" si="1"/>
        <v>99.999999999999986</v>
      </c>
      <c r="K56">
        <f t="shared" si="2"/>
        <v>33.673469387755098</v>
      </c>
      <c r="L56">
        <f t="shared" si="3"/>
        <v>43.87755102040817</v>
      </c>
      <c r="M56">
        <f t="shared" si="4"/>
        <v>16.326530612244898</v>
      </c>
      <c r="N56">
        <f t="shared" si="5"/>
        <v>6.1224489795918373</v>
      </c>
    </row>
    <row r="57" spans="3:14" x14ac:dyDescent="0.2">
      <c r="C57" s="5">
        <v>1.2919896640826873</v>
      </c>
      <c r="D57" s="5">
        <v>31.007751937984494</v>
      </c>
      <c r="E57" s="5">
        <v>41.860465116279073</v>
      </c>
      <c r="F57" s="5">
        <v>17.571059431524546</v>
      </c>
      <c r="G57" s="5">
        <v>8.2687338501292</v>
      </c>
      <c r="H57" s="18">
        <f t="shared" si="1"/>
        <v>99.999999999999986</v>
      </c>
      <c r="K57">
        <f t="shared" si="2"/>
        <v>31.413612565445025</v>
      </c>
      <c r="L57">
        <f t="shared" si="3"/>
        <v>42.40837696335079</v>
      </c>
      <c r="M57">
        <f t="shared" si="4"/>
        <v>17.801047120418847</v>
      </c>
      <c r="N57">
        <f t="shared" si="5"/>
        <v>8.376963350785342</v>
      </c>
    </row>
    <row r="58" spans="3:14" x14ac:dyDescent="0.2">
      <c r="C58" s="5">
        <v>1.804123711340206</v>
      </c>
      <c r="D58" s="5">
        <v>31.958762886597935</v>
      </c>
      <c r="E58" s="5">
        <v>40.206185567010309</v>
      </c>
      <c r="F58" s="5">
        <v>18.041237113402062</v>
      </c>
      <c r="G58" s="5">
        <v>7.9896907216494837</v>
      </c>
      <c r="H58" s="18">
        <f t="shared" si="1"/>
        <v>99.999999999999986</v>
      </c>
      <c r="K58">
        <f t="shared" si="2"/>
        <v>32.54593175853018</v>
      </c>
      <c r="L58">
        <f t="shared" si="3"/>
        <v>40.944881889763778</v>
      </c>
      <c r="M58">
        <f t="shared" si="4"/>
        <v>18.372703412073491</v>
      </c>
      <c r="N58">
        <f t="shared" si="5"/>
        <v>8.1364829396325451</v>
      </c>
    </row>
    <row r="59" spans="3:14" x14ac:dyDescent="0.2">
      <c r="C59" s="5">
        <v>1.0309278350515463</v>
      </c>
      <c r="D59" s="5">
        <v>33.505154639175252</v>
      </c>
      <c r="E59" s="5">
        <v>38.659793814432994</v>
      </c>
      <c r="F59" s="5">
        <v>19.072164948453608</v>
      </c>
      <c r="G59" s="5">
        <v>7.731958762886598</v>
      </c>
      <c r="H59" s="18">
        <f t="shared" si="1"/>
        <v>100</v>
      </c>
      <c r="K59">
        <f t="shared" si="2"/>
        <v>33.854166666666664</v>
      </c>
      <c r="L59">
        <f t="shared" si="3"/>
        <v>39.062500000000014</v>
      </c>
      <c r="M59">
        <f t="shared" si="4"/>
        <v>19.270833333333336</v>
      </c>
      <c r="N59">
        <f t="shared" si="5"/>
        <v>7.8125000000000018</v>
      </c>
    </row>
    <row r="60" spans="3:14" x14ac:dyDescent="0.2">
      <c r="C60" s="5">
        <v>0.51546391752577314</v>
      </c>
      <c r="D60" s="5">
        <v>33.505154639175252</v>
      </c>
      <c r="E60" s="5">
        <v>38.659793814432994</v>
      </c>
      <c r="F60" s="5">
        <v>19.587628865979383</v>
      </c>
      <c r="G60" s="5">
        <v>7.731958762886598</v>
      </c>
      <c r="H60" s="18">
        <f t="shared" si="1"/>
        <v>100</v>
      </c>
      <c r="K60">
        <f t="shared" si="2"/>
        <v>33.678756476683937</v>
      </c>
      <c r="L60">
        <f t="shared" si="3"/>
        <v>38.860103626943008</v>
      </c>
      <c r="M60">
        <f t="shared" si="4"/>
        <v>19.689119170984458</v>
      </c>
      <c r="N60">
        <f t="shared" si="5"/>
        <v>7.7720207253886011</v>
      </c>
    </row>
    <row r="61" spans="3:14" x14ac:dyDescent="0.2">
      <c r="C61" s="5">
        <v>0</v>
      </c>
      <c r="D61" s="5">
        <v>33.076923076923073</v>
      </c>
      <c r="E61" s="5">
        <v>38.461538461538467</v>
      </c>
      <c r="F61" s="5">
        <v>21.794871794871796</v>
      </c>
      <c r="G61" s="5">
        <v>6.666666666666667</v>
      </c>
      <c r="H61" s="18">
        <f t="shared" si="1"/>
        <v>100.00000000000001</v>
      </c>
      <c r="K61">
        <f t="shared" si="2"/>
        <v>33.076923076923073</v>
      </c>
      <c r="L61">
        <f t="shared" si="3"/>
        <v>38.461538461538467</v>
      </c>
      <c r="M61">
        <f t="shared" si="4"/>
        <v>21.794871794871792</v>
      </c>
      <c r="N61">
        <f t="shared" si="5"/>
        <v>6.666666666666667</v>
      </c>
    </row>
    <row r="62" spans="3:14" x14ac:dyDescent="0.2">
      <c r="C62" s="5">
        <v>0.25773195876288657</v>
      </c>
      <c r="D62" s="5">
        <v>33.24742268041237</v>
      </c>
      <c r="E62" s="5">
        <v>38.659793814432994</v>
      </c>
      <c r="F62" s="5">
        <v>20.103092783505154</v>
      </c>
      <c r="G62" s="5">
        <v>7.731958762886598</v>
      </c>
      <c r="H62" s="18">
        <f t="shared" si="1"/>
        <v>100</v>
      </c>
      <c r="K62">
        <f t="shared" si="2"/>
        <v>33.333333333333329</v>
      </c>
      <c r="L62">
        <f t="shared" si="3"/>
        <v>38.759689922480625</v>
      </c>
      <c r="M62">
        <f t="shared" si="4"/>
        <v>20.155038759689923</v>
      </c>
      <c r="N62">
        <f t="shared" si="5"/>
        <v>7.7519379844961236</v>
      </c>
    </row>
    <row r="63" spans="3:14" x14ac:dyDescent="0.2">
      <c r="C63" s="5">
        <v>0.25773195876288657</v>
      </c>
      <c r="D63" s="5">
        <v>33.24742268041237</v>
      </c>
      <c r="E63" s="5">
        <v>41.237113402061851</v>
      </c>
      <c r="F63" s="5">
        <v>17.525773195876287</v>
      </c>
      <c r="G63" s="5">
        <v>7.731958762886598</v>
      </c>
      <c r="H63" s="18">
        <f t="shared" si="1"/>
        <v>99.999999999999986</v>
      </c>
      <c r="K63">
        <f t="shared" si="2"/>
        <v>33.333333333333336</v>
      </c>
      <c r="L63">
        <f t="shared" si="3"/>
        <v>41.343669250645995</v>
      </c>
      <c r="M63">
        <f t="shared" si="4"/>
        <v>17.571059431524549</v>
      </c>
      <c r="N63">
        <f t="shared" si="5"/>
        <v>7.7519379844961254</v>
      </c>
    </row>
    <row r="64" spans="3:14" x14ac:dyDescent="0.2">
      <c r="C64" s="5">
        <v>0.2590673575129534</v>
      </c>
      <c r="D64" s="5">
        <v>31.606217616580313</v>
      </c>
      <c r="E64" s="5">
        <v>42.487046632124354</v>
      </c>
      <c r="F64" s="5">
        <v>17.616580310880828</v>
      </c>
      <c r="G64" s="5">
        <v>8.0310880829015545</v>
      </c>
      <c r="H64" s="18">
        <f t="shared" si="1"/>
        <v>100</v>
      </c>
      <c r="K64">
        <f t="shared" si="2"/>
        <v>31.688311688311689</v>
      </c>
      <c r="L64">
        <f t="shared" si="3"/>
        <v>42.597402597402592</v>
      </c>
      <c r="M64">
        <f t="shared" si="4"/>
        <v>17.662337662337659</v>
      </c>
      <c r="N64">
        <f t="shared" si="5"/>
        <v>8.0519480519480524</v>
      </c>
    </row>
    <row r="65" spans="3:14" x14ac:dyDescent="0.2">
      <c r="C65" s="5">
        <v>63.569937369519828</v>
      </c>
      <c r="D65" s="5">
        <v>10.22964509394572</v>
      </c>
      <c r="E65" s="5">
        <v>7.5156576200417531</v>
      </c>
      <c r="F65" s="5">
        <v>14.822546972860124</v>
      </c>
      <c r="G65" s="5">
        <v>3.8622129436325676</v>
      </c>
      <c r="H65" s="18">
        <f t="shared" si="1"/>
        <v>100</v>
      </c>
      <c r="K65">
        <f t="shared" si="2"/>
        <v>28.08022922636103</v>
      </c>
      <c r="L65">
        <f t="shared" si="3"/>
        <v>20.630372492836678</v>
      </c>
      <c r="M65">
        <f t="shared" si="4"/>
        <v>40.687679083094551</v>
      </c>
      <c r="N65">
        <f t="shared" si="5"/>
        <v>10.601719197707736</v>
      </c>
    </row>
    <row r="66" spans="3:14" x14ac:dyDescent="0.2">
      <c r="C66" s="5">
        <v>54.716981132075468</v>
      </c>
      <c r="D66" s="5">
        <v>14.675052410901468</v>
      </c>
      <c r="E66" s="5">
        <v>11.215932914046119</v>
      </c>
      <c r="F66" s="5">
        <v>14.255765199161424</v>
      </c>
      <c r="G66" s="5">
        <v>5.1362683438155132</v>
      </c>
      <c r="H66" s="18">
        <f t="shared" si="1"/>
        <v>100</v>
      </c>
      <c r="K66">
        <f t="shared" si="2"/>
        <v>32.407407407407412</v>
      </c>
      <c r="L66">
        <f t="shared" si="3"/>
        <v>24.768518518518515</v>
      </c>
      <c r="M66">
        <f t="shared" si="4"/>
        <v>31.481481481481477</v>
      </c>
      <c r="N66">
        <f t="shared" si="5"/>
        <v>11.342592592592593</v>
      </c>
    </row>
    <row r="67" spans="3:14" x14ac:dyDescent="0.2">
      <c r="C67" s="5">
        <v>50.000000000000014</v>
      </c>
      <c r="D67" s="5">
        <v>17.190775681341719</v>
      </c>
      <c r="E67" s="5">
        <v>13.20754716981132</v>
      </c>
      <c r="F67" s="5">
        <v>13.626834381551364</v>
      </c>
      <c r="G67" s="5">
        <v>5.9748427672955984</v>
      </c>
      <c r="H67" s="18">
        <f t="shared" ref="H67:H130" si="6">SUM(C67:G67)</f>
        <v>100.00000000000001</v>
      </c>
      <c r="K67">
        <f t="shared" ref="K67:K130" si="7">(D67/SUM($D67:$G67))*100</f>
        <v>34.381551362683439</v>
      </c>
      <c r="L67">
        <f t="shared" ref="L67:L130" si="8">(E67/SUM($D67:$G67))*100</f>
        <v>26.415094339622641</v>
      </c>
      <c r="M67">
        <f t="shared" ref="M67:M130" si="9">(F67/SUM($D67:$G67))*100</f>
        <v>27.253668763102727</v>
      </c>
      <c r="N67">
        <f t="shared" ref="N67:N130" si="10">(G67/SUM($D67:$G67))*100</f>
        <v>11.949685534591197</v>
      </c>
    </row>
    <row r="68" spans="3:14" x14ac:dyDescent="0.2">
      <c r="C68" s="5">
        <v>67.531120331950206</v>
      </c>
      <c r="D68" s="5">
        <v>7.8838174273858916</v>
      </c>
      <c r="E68" s="5">
        <v>7.1576763485477191</v>
      </c>
      <c r="F68" s="5">
        <v>14.626556016597512</v>
      </c>
      <c r="G68" s="5">
        <v>2.8008298755186725</v>
      </c>
      <c r="H68" s="18">
        <f t="shared" si="6"/>
        <v>100</v>
      </c>
      <c r="K68">
        <f t="shared" si="7"/>
        <v>24.281150159744406</v>
      </c>
      <c r="L68">
        <f t="shared" si="8"/>
        <v>22.044728434504794</v>
      </c>
      <c r="M68">
        <f t="shared" si="9"/>
        <v>45.047923322683708</v>
      </c>
      <c r="N68">
        <f t="shared" si="10"/>
        <v>8.6261980830670915</v>
      </c>
    </row>
    <row r="69" spans="3:14" x14ac:dyDescent="0.2">
      <c r="C69" s="5">
        <v>63.136033229491176</v>
      </c>
      <c r="D69" s="5">
        <v>10.799584631360332</v>
      </c>
      <c r="E69" s="5">
        <v>8.3073727933541015</v>
      </c>
      <c r="F69" s="5">
        <v>14.641744548286603</v>
      </c>
      <c r="G69" s="5">
        <v>3.1152647975077881</v>
      </c>
      <c r="H69" s="18">
        <f t="shared" si="6"/>
        <v>100</v>
      </c>
      <c r="K69">
        <f t="shared" si="7"/>
        <v>29.295774647887324</v>
      </c>
      <c r="L69">
        <f t="shared" si="8"/>
        <v>22.535211267605636</v>
      </c>
      <c r="M69">
        <f t="shared" si="9"/>
        <v>39.718309859154928</v>
      </c>
      <c r="N69">
        <f t="shared" si="10"/>
        <v>8.4507042253521121</v>
      </c>
    </row>
    <row r="70" spans="3:14" x14ac:dyDescent="0.2">
      <c r="C70" s="5">
        <v>59.916926272066476</v>
      </c>
      <c r="D70" s="5">
        <v>12.56490134994808</v>
      </c>
      <c r="E70" s="5">
        <v>10.488058151609556</v>
      </c>
      <c r="F70" s="5">
        <v>13.603322949117343</v>
      </c>
      <c r="G70" s="5">
        <v>3.4267912772585674</v>
      </c>
      <c r="H70" s="18">
        <f t="shared" si="6"/>
        <v>100.00000000000001</v>
      </c>
      <c r="K70">
        <f t="shared" si="7"/>
        <v>31.347150259067359</v>
      </c>
      <c r="L70">
        <f t="shared" si="8"/>
        <v>26.165803108808294</v>
      </c>
      <c r="M70">
        <f t="shared" si="9"/>
        <v>33.937823834196891</v>
      </c>
      <c r="N70">
        <f t="shared" si="10"/>
        <v>8.5492227979274613</v>
      </c>
    </row>
    <row r="71" spans="3:14" x14ac:dyDescent="0.2">
      <c r="C71" s="5">
        <v>76.820512820512832</v>
      </c>
      <c r="D71" s="5">
        <v>3.2820512820512819</v>
      </c>
      <c r="E71" s="5">
        <v>4.4102564102564097</v>
      </c>
      <c r="F71" s="5">
        <v>14.461538461538462</v>
      </c>
      <c r="G71" s="5">
        <v>1.0256410256410255</v>
      </c>
      <c r="H71" s="18">
        <f t="shared" si="6"/>
        <v>100.00000000000001</v>
      </c>
      <c r="K71">
        <f t="shared" si="7"/>
        <v>14.159292035398231</v>
      </c>
      <c r="L71">
        <f t="shared" si="8"/>
        <v>19.026548672566371</v>
      </c>
      <c r="M71">
        <f t="shared" si="9"/>
        <v>62.389380530973447</v>
      </c>
      <c r="N71">
        <f t="shared" si="10"/>
        <v>4.4247787610619467</v>
      </c>
    </row>
    <row r="72" spans="3:14" x14ac:dyDescent="0.2">
      <c r="C72" s="5">
        <v>67.389060887512898</v>
      </c>
      <c r="D72" s="5">
        <v>8.7719298245614024</v>
      </c>
      <c r="E72" s="5">
        <v>7.1207430340557281</v>
      </c>
      <c r="F72" s="5">
        <v>14.241486068111456</v>
      </c>
      <c r="G72" s="5">
        <v>2.4767801857585137</v>
      </c>
      <c r="H72" s="18">
        <f t="shared" si="6"/>
        <v>99.999999999999986</v>
      </c>
      <c r="K72">
        <f t="shared" si="7"/>
        <v>26.898734177215182</v>
      </c>
      <c r="L72">
        <f t="shared" si="8"/>
        <v>21.835443037974684</v>
      </c>
      <c r="M72">
        <f t="shared" si="9"/>
        <v>43.670886075949369</v>
      </c>
      <c r="N72">
        <f t="shared" si="10"/>
        <v>7.5949367088607582</v>
      </c>
    </row>
    <row r="73" spans="3:14" x14ac:dyDescent="0.2">
      <c r="C73" s="5">
        <v>65.123456790123456</v>
      </c>
      <c r="D73" s="5">
        <v>9.9794238683127556</v>
      </c>
      <c r="E73" s="5">
        <v>8.4362139917695469</v>
      </c>
      <c r="F73" s="5">
        <v>14.300411522633743</v>
      </c>
      <c r="G73" s="5">
        <v>2.1604938271604937</v>
      </c>
      <c r="H73" s="18">
        <f t="shared" si="6"/>
        <v>99.999999999999986</v>
      </c>
      <c r="K73">
        <f t="shared" si="7"/>
        <v>28.613569321533923</v>
      </c>
      <c r="L73">
        <f t="shared" si="8"/>
        <v>24.188790560471979</v>
      </c>
      <c r="M73">
        <f t="shared" si="9"/>
        <v>41.002949852507378</v>
      </c>
      <c r="N73">
        <f t="shared" si="10"/>
        <v>6.1946902654867264</v>
      </c>
    </row>
    <row r="74" spans="3:14" x14ac:dyDescent="0.2">
      <c r="C74" s="5">
        <v>63.333333333333329</v>
      </c>
      <c r="D74" s="5">
        <v>10.3125</v>
      </c>
      <c r="E74" s="5">
        <v>8.0208333333333339</v>
      </c>
      <c r="F74" s="5">
        <v>15.416666666666668</v>
      </c>
      <c r="G74" s="5">
        <v>2.9166666666666665</v>
      </c>
      <c r="H74" s="18">
        <f t="shared" si="6"/>
        <v>100</v>
      </c>
      <c r="K74">
        <f t="shared" si="7"/>
        <v>28.125</v>
      </c>
      <c r="L74">
        <f t="shared" si="8"/>
        <v>21.875000000000004</v>
      </c>
      <c r="M74">
        <f t="shared" si="9"/>
        <v>42.045454545454554</v>
      </c>
      <c r="N74">
        <f t="shared" si="10"/>
        <v>7.9545454545454541</v>
      </c>
    </row>
    <row r="75" spans="3:14" x14ac:dyDescent="0.2">
      <c r="C75" s="5">
        <v>61.347150259067362</v>
      </c>
      <c r="D75" s="5">
        <v>11.398963730569948</v>
      </c>
      <c r="E75" s="5">
        <v>8.7046632124352339</v>
      </c>
      <c r="F75" s="5">
        <v>15.336787564766841</v>
      </c>
      <c r="G75" s="5">
        <v>3.2124352331606216</v>
      </c>
      <c r="H75" s="18">
        <f t="shared" si="6"/>
        <v>100</v>
      </c>
      <c r="K75">
        <f t="shared" si="7"/>
        <v>29.490616621983918</v>
      </c>
      <c r="L75">
        <f t="shared" si="8"/>
        <v>22.520107238605902</v>
      </c>
      <c r="M75">
        <f t="shared" si="9"/>
        <v>39.678284182305639</v>
      </c>
      <c r="N75">
        <f t="shared" si="10"/>
        <v>8.3109919571045587</v>
      </c>
    </row>
    <row r="76" spans="3:14" x14ac:dyDescent="0.2">
      <c r="C76" s="5">
        <v>55.463917525773191</v>
      </c>
      <c r="D76" s="5">
        <v>15.979381443298967</v>
      </c>
      <c r="E76" s="5">
        <v>10.721649484536083</v>
      </c>
      <c r="F76" s="5">
        <v>14.536082474226802</v>
      </c>
      <c r="G76" s="5">
        <v>3.2989690721649487</v>
      </c>
      <c r="H76" s="18">
        <f t="shared" si="6"/>
        <v>100</v>
      </c>
      <c r="K76">
        <f t="shared" si="7"/>
        <v>35.879629629629626</v>
      </c>
      <c r="L76">
        <f t="shared" si="8"/>
        <v>24.07407407407408</v>
      </c>
      <c r="M76">
        <f t="shared" si="9"/>
        <v>32.638888888888886</v>
      </c>
      <c r="N76">
        <f t="shared" si="10"/>
        <v>7.4074074074074083</v>
      </c>
    </row>
    <row r="77" spans="3:14" x14ac:dyDescent="0.2">
      <c r="C77" s="5">
        <v>62.461220268872793</v>
      </c>
      <c r="D77" s="5">
        <v>10.341261633919338</v>
      </c>
      <c r="E77" s="5">
        <v>8.0661840744570839</v>
      </c>
      <c r="F77" s="5">
        <v>16.132368148914168</v>
      </c>
      <c r="G77" s="5">
        <v>2.9989658738366081</v>
      </c>
      <c r="H77" s="18">
        <f t="shared" si="6"/>
        <v>99.999999999999986</v>
      </c>
      <c r="K77">
        <f t="shared" si="7"/>
        <v>27.54820936639118</v>
      </c>
      <c r="L77">
        <f t="shared" si="8"/>
        <v>21.487603305785122</v>
      </c>
      <c r="M77">
        <f t="shared" si="9"/>
        <v>42.975206611570243</v>
      </c>
      <c r="N77">
        <f t="shared" si="10"/>
        <v>7.9889807162534439</v>
      </c>
    </row>
    <row r="78" spans="3:14" x14ac:dyDescent="0.2">
      <c r="C78" s="5">
        <v>60.309278350515463</v>
      </c>
      <c r="D78" s="5">
        <v>12.371134020618557</v>
      </c>
      <c r="E78" s="5">
        <v>8.8659793814432977</v>
      </c>
      <c r="F78" s="5">
        <v>15.670103092783505</v>
      </c>
      <c r="G78" s="5">
        <v>2.7835051546391756</v>
      </c>
      <c r="H78" s="18">
        <f t="shared" si="6"/>
        <v>100</v>
      </c>
      <c r="K78">
        <f t="shared" si="7"/>
        <v>31.168831168831172</v>
      </c>
      <c r="L78">
        <f t="shared" si="8"/>
        <v>22.337662337662337</v>
      </c>
      <c r="M78">
        <f t="shared" si="9"/>
        <v>39.480519480519483</v>
      </c>
      <c r="N78">
        <f t="shared" si="10"/>
        <v>7.0129870129870149</v>
      </c>
    </row>
    <row r="79" spans="3:14" x14ac:dyDescent="0.2">
      <c r="C79" s="5">
        <v>54.742268041237118</v>
      </c>
      <c r="D79" s="5">
        <v>16.597938144329898</v>
      </c>
      <c r="E79" s="5">
        <v>10.412371134020617</v>
      </c>
      <c r="F79" s="5">
        <v>15.154639175257731</v>
      </c>
      <c r="G79" s="5">
        <v>3.0927835051546393</v>
      </c>
      <c r="H79" s="18">
        <f t="shared" si="6"/>
        <v>100</v>
      </c>
      <c r="K79">
        <f t="shared" si="7"/>
        <v>36.674259681093396</v>
      </c>
      <c r="L79">
        <f t="shared" si="8"/>
        <v>23.006833712984051</v>
      </c>
      <c r="M79">
        <f t="shared" si="9"/>
        <v>33.485193621867879</v>
      </c>
      <c r="N79">
        <f t="shared" si="10"/>
        <v>6.83371298405467</v>
      </c>
    </row>
    <row r="80" spans="3:14" x14ac:dyDescent="0.2">
      <c r="C80" s="5">
        <v>66.907216494845372</v>
      </c>
      <c r="D80" s="5">
        <v>8.2474226804123703</v>
      </c>
      <c r="E80" s="5">
        <v>7.8350515463917523</v>
      </c>
      <c r="F80" s="5">
        <v>14.639175257731956</v>
      </c>
      <c r="G80" s="5">
        <v>2.3711340206185567</v>
      </c>
      <c r="H80" s="18">
        <f t="shared" si="6"/>
        <v>100.00000000000001</v>
      </c>
      <c r="K80">
        <f t="shared" si="7"/>
        <v>24.922118380062305</v>
      </c>
      <c r="L80">
        <f t="shared" si="8"/>
        <v>23.676012461059194</v>
      </c>
      <c r="M80">
        <f t="shared" si="9"/>
        <v>44.236760124610591</v>
      </c>
      <c r="N80">
        <f t="shared" si="10"/>
        <v>7.165109034267914</v>
      </c>
    </row>
    <row r="81" spans="3:14" x14ac:dyDescent="0.2">
      <c r="C81" s="5">
        <v>61.831275720164612</v>
      </c>
      <c r="D81" s="5">
        <v>12.654320987654321</v>
      </c>
      <c r="E81" s="5">
        <v>8.7448559670781876</v>
      </c>
      <c r="F81" s="5">
        <v>13.888888888888889</v>
      </c>
      <c r="G81" s="5">
        <v>2.8806584362139915</v>
      </c>
      <c r="H81" s="18">
        <f t="shared" si="6"/>
        <v>100</v>
      </c>
      <c r="K81">
        <f t="shared" si="7"/>
        <v>33.153638814016176</v>
      </c>
      <c r="L81">
        <f t="shared" si="8"/>
        <v>22.911051212938002</v>
      </c>
      <c r="M81">
        <f t="shared" si="9"/>
        <v>36.388140161725069</v>
      </c>
      <c r="N81">
        <f t="shared" si="10"/>
        <v>7.5471698113207548</v>
      </c>
    </row>
    <row r="82" spans="3:14" x14ac:dyDescent="0.2">
      <c r="C82" s="5">
        <v>56.454918032786892</v>
      </c>
      <c r="D82" s="5">
        <v>15.368852459016393</v>
      </c>
      <c r="E82" s="5">
        <v>12.5</v>
      </c>
      <c r="F82" s="5">
        <v>12.80737704918033</v>
      </c>
      <c r="G82" s="5">
        <v>2.8688524590163933</v>
      </c>
      <c r="H82" s="18">
        <f t="shared" si="6"/>
        <v>100.00000000000001</v>
      </c>
      <c r="K82">
        <f t="shared" si="7"/>
        <v>35.294117647058819</v>
      </c>
      <c r="L82">
        <f t="shared" si="8"/>
        <v>28.70588235294117</v>
      </c>
      <c r="M82">
        <f t="shared" si="9"/>
        <v>29.411764705882355</v>
      </c>
      <c r="N82">
        <f t="shared" si="10"/>
        <v>6.5882352941176459</v>
      </c>
    </row>
    <row r="83" spans="3:14" x14ac:dyDescent="0.2">
      <c r="C83" s="5">
        <v>66.187050359712245</v>
      </c>
      <c r="D83" s="5">
        <v>9.0441932168550885</v>
      </c>
      <c r="E83" s="5">
        <v>7.913669064748202</v>
      </c>
      <c r="F83" s="5">
        <v>14.491264131551901</v>
      </c>
      <c r="G83" s="5">
        <v>2.3638232271325794</v>
      </c>
      <c r="H83" s="18">
        <f t="shared" si="6"/>
        <v>100.00000000000003</v>
      </c>
      <c r="K83">
        <f t="shared" si="7"/>
        <v>26.747720364741646</v>
      </c>
      <c r="L83">
        <f t="shared" si="8"/>
        <v>23.404255319148941</v>
      </c>
      <c r="M83">
        <f t="shared" si="9"/>
        <v>42.857142857142854</v>
      </c>
      <c r="N83">
        <f t="shared" si="10"/>
        <v>6.9908814589665651</v>
      </c>
    </row>
    <row r="84" spans="3:14" x14ac:dyDescent="0.2">
      <c r="C84" s="5">
        <v>62.552301255230134</v>
      </c>
      <c r="D84" s="5">
        <v>12.656903765690378</v>
      </c>
      <c r="E84" s="5">
        <v>8.6820083682008402</v>
      </c>
      <c r="F84" s="5">
        <v>13.179916317991633</v>
      </c>
      <c r="G84" s="5">
        <v>2.9288702928870296</v>
      </c>
      <c r="H84" s="18">
        <f t="shared" si="6"/>
        <v>100.00000000000001</v>
      </c>
      <c r="K84">
        <f t="shared" si="7"/>
        <v>33.798882681564244</v>
      </c>
      <c r="L84">
        <f t="shared" si="8"/>
        <v>23.184357541899448</v>
      </c>
      <c r="M84">
        <f t="shared" si="9"/>
        <v>35.195530726256976</v>
      </c>
      <c r="N84">
        <f t="shared" si="10"/>
        <v>7.8212290502793298</v>
      </c>
    </row>
    <row r="85" spans="3:14" x14ac:dyDescent="0.2">
      <c r="C85" s="5">
        <v>57.889344262295076</v>
      </c>
      <c r="D85" s="5">
        <v>14.54918032786885</v>
      </c>
      <c r="E85" s="5">
        <v>12.499999999999998</v>
      </c>
      <c r="F85" s="5">
        <v>12.499999999999998</v>
      </c>
      <c r="G85" s="5">
        <v>2.5614754098360653</v>
      </c>
      <c r="H85" s="18">
        <f t="shared" si="6"/>
        <v>99.999999999999986</v>
      </c>
      <c r="K85">
        <f t="shared" si="7"/>
        <v>34.549878345498783</v>
      </c>
      <c r="L85">
        <f t="shared" si="8"/>
        <v>29.683698296836987</v>
      </c>
      <c r="M85">
        <f t="shared" si="9"/>
        <v>29.683698296836987</v>
      </c>
      <c r="N85">
        <f t="shared" si="10"/>
        <v>6.0827250608272507</v>
      </c>
    </row>
    <row r="86" spans="3:14" x14ac:dyDescent="0.2">
      <c r="C86" s="5">
        <v>59.87654320987653</v>
      </c>
      <c r="D86" s="5">
        <v>13.68312757201646</v>
      </c>
      <c r="E86" s="5">
        <v>8.6419753086419746</v>
      </c>
      <c r="F86" s="5">
        <v>15.329218106995881</v>
      </c>
      <c r="G86" s="5">
        <v>2.4691358024691352</v>
      </c>
      <c r="H86" s="18">
        <f t="shared" si="6"/>
        <v>99.999999999999986</v>
      </c>
      <c r="K86">
        <f t="shared" si="7"/>
        <v>34.102564102564109</v>
      </c>
      <c r="L86">
        <f t="shared" si="8"/>
        <v>21.538461538461544</v>
      </c>
      <c r="M86">
        <f t="shared" si="9"/>
        <v>38.205128205128204</v>
      </c>
      <c r="N86">
        <f t="shared" si="10"/>
        <v>6.1538461538461533</v>
      </c>
    </row>
    <row r="87" spans="3:14" x14ac:dyDescent="0.2">
      <c r="C87" s="5">
        <v>57.656731757451197</v>
      </c>
      <c r="D87" s="5">
        <v>15.621788283658788</v>
      </c>
      <c r="E87" s="5">
        <v>8.3247687564234347</v>
      </c>
      <c r="F87" s="5">
        <v>15.724563206577599</v>
      </c>
      <c r="G87" s="5">
        <v>2.6721479958890035</v>
      </c>
      <c r="H87" s="18">
        <f t="shared" si="6"/>
        <v>100.00000000000003</v>
      </c>
      <c r="K87">
        <f t="shared" si="7"/>
        <v>36.893203883495133</v>
      </c>
      <c r="L87">
        <f t="shared" si="8"/>
        <v>19.660194174757279</v>
      </c>
      <c r="M87">
        <f t="shared" si="9"/>
        <v>37.135922330097088</v>
      </c>
      <c r="N87">
        <f t="shared" si="10"/>
        <v>6.3106796116504844</v>
      </c>
    </row>
    <row r="88" spans="3:14" x14ac:dyDescent="0.2">
      <c r="C88" s="5">
        <v>59.854310054917391</v>
      </c>
      <c r="D88" s="5">
        <v>6.6480576297946641</v>
      </c>
      <c r="E88" s="5">
        <v>13.553459425903958</v>
      </c>
      <c r="F88" s="5">
        <v>16.341354560979141</v>
      </c>
      <c r="G88" s="5">
        <v>3.6028183284048501</v>
      </c>
      <c r="H88" s="18">
        <f t="shared" si="6"/>
        <v>100</v>
      </c>
      <c r="K88">
        <f t="shared" si="7"/>
        <v>16.55982905982906</v>
      </c>
      <c r="L88">
        <f t="shared" si="8"/>
        <v>33.760683760683754</v>
      </c>
      <c r="M88">
        <f t="shared" si="9"/>
        <v>40.705128205128204</v>
      </c>
      <c r="N88">
        <f t="shared" si="10"/>
        <v>8.9743589743589745</v>
      </c>
    </row>
    <row r="89" spans="3:14" x14ac:dyDescent="0.2">
      <c r="C89" s="5">
        <v>61.116581013058081</v>
      </c>
      <c r="D89" s="5">
        <v>5.6832757509830989</v>
      </c>
      <c r="E89" s="5">
        <v>11.734533385123378</v>
      </c>
      <c r="F89" s="5">
        <v>17.908451646982712</v>
      </c>
      <c r="G89" s="5">
        <v>3.557158203852731</v>
      </c>
      <c r="H89" s="18">
        <f t="shared" si="6"/>
        <v>100</v>
      </c>
      <c r="K89">
        <f t="shared" si="7"/>
        <v>14.616193480546794</v>
      </c>
      <c r="L89">
        <f t="shared" si="8"/>
        <v>30.17875920084122</v>
      </c>
      <c r="M89">
        <f t="shared" si="9"/>
        <v>46.056782334384856</v>
      </c>
      <c r="N89">
        <f t="shared" si="10"/>
        <v>9.1482649842271293</v>
      </c>
    </row>
    <row r="90" spans="3:14" x14ac:dyDescent="0.2">
      <c r="C90" s="5">
        <v>62.604398743549481</v>
      </c>
      <c r="D90" s="5">
        <v>5.5386342197053802</v>
      </c>
      <c r="E90" s="5">
        <v>10.605895314329452</v>
      </c>
      <c r="F90" s="5">
        <v>17.990740940603288</v>
      </c>
      <c r="G90" s="5">
        <v>3.260330781812387</v>
      </c>
      <c r="H90" s="18">
        <f t="shared" si="6"/>
        <v>100</v>
      </c>
      <c r="K90">
        <f t="shared" si="7"/>
        <v>14.810924369747902</v>
      </c>
      <c r="L90">
        <f t="shared" si="8"/>
        <v>28.361344537815132</v>
      </c>
      <c r="M90">
        <f t="shared" si="9"/>
        <v>48.109243697478995</v>
      </c>
      <c r="N90">
        <f t="shared" si="10"/>
        <v>8.7184873949579842</v>
      </c>
    </row>
    <row r="91" spans="3:14" x14ac:dyDescent="0.2">
      <c r="C91" s="5">
        <v>61.892257328524948</v>
      </c>
      <c r="D91" s="5">
        <v>5.4153108006832964</v>
      </c>
      <c r="E91" s="5">
        <v>11.131472201404554</v>
      </c>
      <c r="F91" s="5">
        <v>18.251603068969626</v>
      </c>
      <c r="G91" s="5">
        <v>3.3093566004175701</v>
      </c>
      <c r="H91" s="18">
        <f t="shared" si="6"/>
        <v>100</v>
      </c>
      <c r="K91">
        <f t="shared" si="7"/>
        <v>14.210526315789473</v>
      </c>
      <c r="L91">
        <f t="shared" si="8"/>
        <v>29.210526315789469</v>
      </c>
      <c r="M91">
        <f t="shared" si="9"/>
        <v>47.894736842105253</v>
      </c>
      <c r="N91">
        <f t="shared" si="10"/>
        <v>8.6842105263157894</v>
      </c>
    </row>
    <row r="92" spans="3:14" x14ac:dyDescent="0.2">
      <c r="C92" s="5">
        <v>62.510859705970326</v>
      </c>
      <c r="D92" s="5">
        <v>5.3976510894545351</v>
      </c>
      <c r="E92" s="5">
        <v>10.991580400343782</v>
      </c>
      <c r="F92" s="5">
        <v>17.959457261276</v>
      </c>
      <c r="G92" s="5">
        <v>3.1404515429553657</v>
      </c>
      <c r="H92" s="18">
        <f t="shared" si="6"/>
        <v>100</v>
      </c>
      <c r="K92">
        <f t="shared" si="7"/>
        <v>14.397905759162299</v>
      </c>
      <c r="L92">
        <f t="shared" si="8"/>
        <v>29.319371727748688</v>
      </c>
      <c r="M92">
        <f t="shared" si="9"/>
        <v>47.90575916230366</v>
      </c>
      <c r="N92">
        <f t="shared" si="10"/>
        <v>8.3769633507853385</v>
      </c>
    </row>
    <row r="93" spans="3:14" x14ac:dyDescent="0.2">
      <c r="C93" s="5">
        <v>63.313509948307271</v>
      </c>
      <c r="D93" s="5">
        <v>5.4598692766226797</v>
      </c>
      <c r="E93" s="5">
        <v>10.536589832078855</v>
      </c>
      <c r="F93" s="5">
        <v>17.624841173659178</v>
      </c>
      <c r="G93" s="5">
        <v>3.0651897693320307</v>
      </c>
      <c r="H93" s="18">
        <f t="shared" si="6"/>
        <v>100.00000000000003</v>
      </c>
      <c r="K93">
        <f t="shared" si="7"/>
        <v>14.882506527415144</v>
      </c>
      <c r="L93">
        <f t="shared" si="8"/>
        <v>28.720626631853786</v>
      </c>
      <c r="M93">
        <f t="shared" si="9"/>
        <v>48.041775456919062</v>
      </c>
      <c r="N93">
        <f t="shared" si="10"/>
        <v>8.3550913838120113</v>
      </c>
    </row>
    <row r="94" spans="3:14" x14ac:dyDescent="0.2">
      <c r="C94" s="5">
        <v>63.996322940821038</v>
      </c>
      <c r="D94" s="5">
        <v>5.2780259563194303</v>
      </c>
      <c r="E94" s="5">
        <v>10.08479959511034</v>
      </c>
      <c r="F94" s="5">
        <v>17.719087139072371</v>
      </c>
      <c r="G94" s="5">
        <v>2.9217643686768273</v>
      </c>
      <c r="H94" s="18">
        <f t="shared" si="6"/>
        <v>100.00000000000001</v>
      </c>
      <c r="K94">
        <f t="shared" si="7"/>
        <v>14.659685863874348</v>
      </c>
      <c r="L94">
        <f t="shared" si="8"/>
        <v>28.01047120418848</v>
      </c>
      <c r="M94">
        <f t="shared" si="9"/>
        <v>49.214659685863872</v>
      </c>
      <c r="N94">
        <f t="shared" si="10"/>
        <v>8.1151832460732987</v>
      </c>
    </row>
    <row r="95" spans="3:14" x14ac:dyDescent="0.2">
      <c r="C95" s="5">
        <v>59.300496119415357</v>
      </c>
      <c r="D95" s="5">
        <v>5.9353443159185924</v>
      </c>
      <c r="E95" s="5">
        <v>14.096442750306659</v>
      </c>
      <c r="F95" s="5">
        <v>17.382079782333022</v>
      </c>
      <c r="G95" s="5">
        <v>3.2856370320263646</v>
      </c>
      <c r="H95" s="18">
        <f t="shared" si="6"/>
        <v>100</v>
      </c>
      <c r="K95">
        <f t="shared" si="7"/>
        <v>14.583333333333332</v>
      </c>
      <c r="L95">
        <f t="shared" si="8"/>
        <v>34.635416666666671</v>
      </c>
      <c r="M95">
        <f t="shared" si="9"/>
        <v>42.708333333333336</v>
      </c>
      <c r="N95">
        <f t="shared" si="10"/>
        <v>8.0729166666666679</v>
      </c>
    </row>
    <row r="96" spans="3:14" x14ac:dyDescent="0.2">
      <c r="C96" s="5">
        <v>61.353577975241201</v>
      </c>
      <c r="D96" s="5">
        <v>5.8372199933229432</v>
      </c>
      <c r="E96" s="5">
        <v>12.982782398942408</v>
      </c>
      <c r="F96" s="5">
        <v>16.605884463763545</v>
      </c>
      <c r="G96" s="5">
        <v>3.2205351687298998</v>
      </c>
      <c r="H96" s="18">
        <f t="shared" si="6"/>
        <v>99.999999999999986</v>
      </c>
      <c r="K96">
        <f t="shared" si="7"/>
        <v>15.104166666666666</v>
      </c>
      <c r="L96">
        <f t="shared" si="8"/>
        <v>33.59375</v>
      </c>
      <c r="M96">
        <f t="shared" si="9"/>
        <v>42.968749999999993</v>
      </c>
      <c r="N96">
        <f t="shared" si="10"/>
        <v>8.3333333333333321</v>
      </c>
    </row>
    <row r="97" spans="3:14" x14ac:dyDescent="0.2">
      <c r="C97" s="5">
        <v>61.268941475296891</v>
      </c>
      <c r="D97" s="5">
        <v>6.2210508511181173</v>
      </c>
      <c r="E97" s="5">
        <v>12.843459821663208</v>
      </c>
      <c r="F97" s="5">
        <v>16.455682896505987</v>
      </c>
      <c r="G97" s="5">
        <v>3.210864955415802</v>
      </c>
      <c r="H97" s="18">
        <f t="shared" si="6"/>
        <v>100</v>
      </c>
      <c r="K97">
        <f t="shared" si="7"/>
        <v>16.062176165803109</v>
      </c>
      <c r="L97">
        <f t="shared" si="8"/>
        <v>33.160621761658028</v>
      </c>
      <c r="M97">
        <f t="shared" si="9"/>
        <v>42.487046632124354</v>
      </c>
      <c r="N97">
        <f t="shared" si="10"/>
        <v>8.290155440414507</v>
      </c>
    </row>
    <row r="98" spans="3:14" x14ac:dyDescent="0.2">
      <c r="C98" s="5">
        <v>62.834065356966597</v>
      </c>
      <c r="D98" s="5">
        <v>5.5557324981854057</v>
      </c>
      <c r="E98" s="5">
        <v>12.548292366591177</v>
      </c>
      <c r="F98" s="5">
        <v>15.996678055120048</v>
      </c>
      <c r="G98" s="5">
        <v>3.0652317231367756</v>
      </c>
      <c r="H98" s="18">
        <f t="shared" si="6"/>
        <v>100</v>
      </c>
      <c r="K98">
        <f t="shared" si="7"/>
        <v>14.948453608247419</v>
      </c>
      <c r="L98">
        <f t="shared" si="8"/>
        <v>33.762886597938149</v>
      </c>
      <c r="M98">
        <f t="shared" si="9"/>
        <v>43.041237113402062</v>
      </c>
      <c r="N98">
        <f t="shared" si="10"/>
        <v>8.2474226804123703</v>
      </c>
    </row>
    <row r="99" spans="3:14" x14ac:dyDescent="0.2">
      <c r="C99" s="5">
        <v>60.43349062383475</v>
      </c>
      <c r="D99" s="5">
        <v>5.5931714824945633</v>
      </c>
      <c r="E99" s="5">
        <v>14.293660455263884</v>
      </c>
      <c r="F99" s="5">
        <v>15.950896450077087</v>
      </c>
      <c r="G99" s="5">
        <v>3.7287809883297087</v>
      </c>
      <c r="H99" s="18">
        <f t="shared" si="6"/>
        <v>99.999999999999986</v>
      </c>
      <c r="K99">
        <f t="shared" si="7"/>
        <v>14.136125654450263</v>
      </c>
      <c r="L99">
        <f t="shared" si="8"/>
        <v>36.125654450261784</v>
      </c>
      <c r="M99">
        <f t="shared" si="9"/>
        <v>40.31413612565445</v>
      </c>
      <c r="N99">
        <f t="shared" si="10"/>
        <v>9.4240837696335085</v>
      </c>
    </row>
    <row r="100" spans="3:14" x14ac:dyDescent="0.2">
      <c r="C100" s="5">
        <v>60.51539605903897</v>
      </c>
      <c r="D100" s="5">
        <v>6.2344111485727947</v>
      </c>
      <c r="E100" s="5">
        <v>13.923518231812574</v>
      </c>
      <c r="F100" s="5">
        <v>15.793841576384413</v>
      </c>
      <c r="G100" s="5">
        <v>3.5328329841912502</v>
      </c>
      <c r="H100" s="18">
        <f t="shared" si="6"/>
        <v>100</v>
      </c>
      <c r="K100">
        <f t="shared" si="7"/>
        <v>15.789473684210527</v>
      </c>
      <c r="L100">
        <f t="shared" si="8"/>
        <v>35.263157894736842</v>
      </c>
      <c r="M100">
        <f t="shared" si="9"/>
        <v>40</v>
      </c>
      <c r="N100">
        <f t="shared" si="10"/>
        <v>8.9473684210526319</v>
      </c>
    </row>
    <row r="101" spans="3:14" x14ac:dyDescent="0.2">
      <c r="C101" s="5">
        <v>61.55176883001009</v>
      </c>
      <c r="D101" s="5">
        <v>6.4080385283316517</v>
      </c>
      <c r="E101" s="5">
        <v>13.216579464684031</v>
      </c>
      <c r="F101" s="5">
        <v>15.319217106792854</v>
      </c>
      <c r="G101" s="5">
        <v>3.5043960701813717</v>
      </c>
      <c r="H101" s="18">
        <f t="shared" si="6"/>
        <v>100</v>
      </c>
      <c r="K101">
        <f t="shared" si="7"/>
        <v>16.666666666666664</v>
      </c>
      <c r="L101">
        <f t="shared" si="8"/>
        <v>34.375</v>
      </c>
      <c r="M101">
        <f t="shared" si="9"/>
        <v>39.84375</v>
      </c>
      <c r="N101">
        <f t="shared" si="10"/>
        <v>9.1145833333333321</v>
      </c>
    </row>
    <row r="102" spans="3:14" x14ac:dyDescent="0.2">
      <c r="C102" s="5">
        <v>61.701239292225488</v>
      </c>
      <c r="D102" s="5">
        <v>6.1836540726094276</v>
      </c>
      <c r="E102" s="5">
        <v>13.165198993297489</v>
      </c>
      <c r="F102" s="5">
        <v>15.459135181523568</v>
      </c>
      <c r="G102" s="5">
        <v>3.4907724603440311</v>
      </c>
      <c r="H102" s="18">
        <f t="shared" si="6"/>
        <v>100</v>
      </c>
      <c r="K102">
        <f t="shared" si="7"/>
        <v>16.145833333333336</v>
      </c>
      <c r="L102">
        <f t="shared" si="8"/>
        <v>34.374999999999993</v>
      </c>
      <c r="M102">
        <f t="shared" si="9"/>
        <v>40.364583333333329</v>
      </c>
      <c r="N102">
        <f t="shared" si="10"/>
        <v>9.1145833333333321</v>
      </c>
    </row>
    <row r="103" spans="3:14" x14ac:dyDescent="0.2">
      <c r="C103" s="5">
        <v>62.547163474567036</v>
      </c>
      <c r="D103" s="5">
        <v>5.6422455025327576</v>
      </c>
      <c r="E103" s="5">
        <v>12.938252617876842</v>
      </c>
      <c r="F103" s="5">
        <v>15.467535084529457</v>
      </c>
      <c r="G103" s="5">
        <v>3.404803320493905</v>
      </c>
      <c r="H103" s="18">
        <f t="shared" si="6"/>
        <v>100</v>
      </c>
      <c r="K103">
        <f t="shared" si="7"/>
        <v>15.064935064935064</v>
      </c>
      <c r="L103">
        <f t="shared" si="8"/>
        <v>34.545454545454547</v>
      </c>
      <c r="M103">
        <f t="shared" si="9"/>
        <v>41.298701298701296</v>
      </c>
      <c r="N103">
        <f t="shared" si="10"/>
        <v>9.0909090909090882</v>
      </c>
    </row>
    <row r="104" spans="3:14" x14ac:dyDescent="0.2">
      <c r="C104" s="5">
        <v>56.3</v>
      </c>
      <c r="D104" s="5">
        <v>11.900000000000002</v>
      </c>
      <c r="E104" s="5">
        <v>19.7</v>
      </c>
      <c r="F104" s="5">
        <v>10.000000000000002</v>
      </c>
      <c r="G104" s="5">
        <v>2.1000000000000005</v>
      </c>
      <c r="H104" s="18">
        <f t="shared" si="6"/>
        <v>100</v>
      </c>
      <c r="K104">
        <f t="shared" si="7"/>
        <v>27.231121281464532</v>
      </c>
      <c r="L104">
        <f t="shared" si="8"/>
        <v>45.08009153318077</v>
      </c>
      <c r="M104">
        <f t="shared" si="9"/>
        <v>22.883295194508012</v>
      </c>
      <c r="N104">
        <f t="shared" si="10"/>
        <v>4.8054919908466829</v>
      </c>
    </row>
    <row r="105" spans="3:14" x14ac:dyDescent="0.2">
      <c r="C105" s="5">
        <v>57.700000000000017</v>
      </c>
      <c r="D105" s="5">
        <v>10.3</v>
      </c>
      <c r="E105" s="5">
        <v>19.399999999999999</v>
      </c>
      <c r="F105" s="5">
        <v>10.3</v>
      </c>
      <c r="G105" s="5">
        <v>2.2999999999999998</v>
      </c>
      <c r="H105" s="18">
        <f t="shared" si="6"/>
        <v>100</v>
      </c>
      <c r="K105">
        <f t="shared" si="7"/>
        <v>24.349881796690312</v>
      </c>
      <c r="L105">
        <f t="shared" si="8"/>
        <v>45.862884160756501</v>
      </c>
      <c r="M105">
        <f t="shared" si="9"/>
        <v>24.349881796690312</v>
      </c>
      <c r="N105">
        <f t="shared" si="10"/>
        <v>5.4373522458628845</v>
      </c>
    </row>
    <row r="106" spans="3:14" x14ac:dyDescent="0.2">
      <c r="C106" s="5">
        <v>59.20000000000001</v>
      </c>
      <c r="D106" s="5">
        <v>11</v>
      </c>
      <c r="E106" s="5">
        <v>18.5</v>
      </c>
      <c r="F106" s="5">
        <v>9.5</v>
      </c>
      <c r="G106" s="5">
        <v>1.8000000000000003</v>
      </c>
      <c r="H106" s="18">
        <f t="shared" si="6"/>
        <v>100.00000000000001</v>
      </c>
      <c r="K106">
        <f t="shared" si="7"/>
        <v>26.960784313725494</v>
      </c>
      <c r="L106">
        <f t="shared" si="8"/>
        <v>45.343137254901968</v>
      </c>
      <c r="M106">
        <f t="shared" si="9"/>
        <v>23.284313725490197</v>
      </c>
      <c r="N106">
        <f t="shared" si="10"/>
        <v>4.4117647058823541</v>
      </c>
    </row>
    <row r="107" spans="3:14" x14ac:dyDescent="0.2">
      <c r="C107" s="5">
        <v>57.999999999999993</v>
      </c>
      <c r="D107" s="5">
        <v>9</v>
      </c>
      <c r="E107" s="5">
        <v>21.7</v>
      </c>
      <c r="F107" s="5">
        <v>9.1</v>
      </c>
      <c r="G107" s="5">
        <v>2.2000000000000002</v>
      </c>
      <c r="H107" s="18">
        <f t="shared" si="6"/>
        <v>100</v>
      </c>
      <c r="K107">
        <f t="shared" si="7"/>
        <v>21.428571428571427</v>
      </c>
      <c r="L107">
        <f t="shared" si="8"/>
        <v>51.666666666666657</v>
      </c>
      <c r="M107">
        <f t="shared" si="9"/>
        <v>21.666666666666664</v>
      </c>
      <c r="N107">
        <f t="shared" si="10"/>
        <v>5.2380952380952381</v>
      </c>
    </row>
    <row r="108" spans="3:14" x14ac:dyDescent="0.2">
      <c r="C108" s="5">
        <v>55.000000000000007</v>
      </c>
      <c r="D108" s="5">
        <v>11.1</v>
      </c>
      <c r="E108" s="5">
        <v>20.3</v>
      </c>
      <c r="F108" s="5">
        <v>11.1</v>
      </c>
      <c r="G108" s="5">
        <v>2.5</v>
      </c>
      <c r="H108" s="18">
        <f t="shared" si="6"/>
        <v>100</v>
      </c>
      <c r="K108">
        <f t="shared" si="7"/>
        <v>24.666666666666664</v>
      </c>
      <c r="L108">
        <f t="shared" si="8"/>
        <v>45.111111111111114</v>
      </c>
      <c r="M108">
        <f t="shared" si="9"/>
        <v>24.666666666666664</v>
      </c>
      <c r="N108">
        <f t="shared" si="10"/>
        <v>5.5555555555555554</v>
      </c>
    </row>
    <row r="109" spans="3:14" x14ac:dyDescent="0.2">
      <c r="C109" s="5">
        <v>63.769999999999996</v>
      </c>
      <c r="D109" s="5">
        <v>8.5</v>
      </c>
      <c r="E109" s="5">
        <v>16.400000000000002</v>
      </c>
      <c r="F109" s="5">
        <v>9.73</v>
      </c>
      <c r="G109" s="5">
        <v>1.6000000000000003</v>
      </c>
      <c r="H109" s="18">
        <f t="shared" si="6"/>
        <v>100</v>
      </c>
      <c r="K109">
        <f t="shared" si="7"/>
        <v>23.461219983439136</v>
      </c>
      <c r="L109">
        <f t="shared" si="8"/>
        <v>45.266353850400222</v>
      </c>
      <c r="M109">
        <f t="shared" si="9"/>
        <v>26.856196522219157</v>
      </c>
      <c r="N109">
        <f t="shared" si="10"/>
        <v>4.4162296439414854</v>
      </c>
    </row>
    <row r="110" spans="3:14" x14ac:dyDescent="0.2">
      <c r="C110" s="5">
        <v>61.4</v>
      </c>
      <c r="D110" s="5">
        <v>9.1999999999999993</v>
      </c>
      <c r="E110" s="5">
        <v>18.3</v>
      </c>
      <c r="F110" s="5">
        <v>9.4</v>
      </c>
      <c r="G110" s="5">
        <v>1.7000000000000002</v>
      </c>
      <c r="H110" s="18">
        <f t="shared" si="6"/>
        <v>100</v>
      </c>
      <c r="K110">
        <f t="shared" si="7"/>
        <v>23.834196891191709</v>
      </c>
      <c r="L110">
        <f t="shared" si="8"/>
        <v>47.409326424870471</v>
      </c>
      <c r="M110">
        <f t="shared" si="9"/>
        <v>24.352331606217618</v>
      </c>
      <c r="N110">
        <f t="shared" si="10"/>
        <v>4.4041450777202078</v>
      </c>
    </row>
    <row r="111" spans="3:14" x14ac:dyDescent="0.2">
      <c r="C111" s="5">
        <v>59.699999999999996</v>
      </c>
      <c r="D111" s="5">
        <v>10</v>
      </c>
      <c r="E111" s="5">
        <v>20.599999999999998</v>
      </c>
      <c r="F111" s="5">
        <v>7.8999999999999986</v>
      </c>
      <c r="G111" s="5">
        <v>1.7999999999999998</v>
      </c>
      <c r="H111" s="18">
        <f t="shared" si="6"/>
        <v>99.999999999999986</v>
      </c>
      <c r="K111">
        <f t="shared" si="7"/>
        <v>24.813895781637719</v>
      </c>
      <c r="L111">
        <f t="shared" si="8"/>
        <v>51.116625310173688</v>
      </c>
      <c r="M111">
        <f t="shared" si="9"/>
        <v>19.602977667493796</v>
      </c>
      <c r="N111">
        <f t="shared" si="10"/>
        <v>4.4665012406947886</v>
      </c>
    </row>
    <row r="112" spans="3:14" x14ac:dyDescent="0.2">
      <c r="C112" s="5">
        <v>60.9</v>
      </c>
      <c r="D112" s="5">
        <v>8.4000000000000021</v>
      </c>
      <c r="E112" s="5">
        <v>20.5</v>
      </c>
      <c r="F112" s="5">
        <v>8.6000000000000014</v>
      </c>
      <c r="G112" s="5">
        <v>1.6000000000000003</v>
      </c>
      <c r="H112" s="18">
        <f t="shared" si="6"/>
        <v>100</v>
      </c>
      <c r="K112">
        <f t="shared" si="7"/>
        <v>21.483375959079286</v>
      </c>
      <c r="L112">
        <f t="shared" si="8"/>
        <v>52.429667519181592</v>
      </c>
      <c r="M112">
        <f t="shared" si="9"/>
        <v>21.994884910485936</v>
      </c>
      <c r="N112">
        <f t="shared" si="10"/>
        <v>4.0920716112531972</v>
      </c>
    </row>
    <row r="113" spans="3:14" x14ac:dyDescent="0.2">
      <c r="C113" s="5">
        <v>57.2</v>
      </c>
      <c r="D113" s="5">
        <v>14.2</v>
      </c>
      <c r="E113" s="5">
        <v>19</v>
      </c>
      <c r="F113" s="5">
        <v>8.8000000000000007</v>
      </c>
      <c r="G113" s="5">
        <v>0.8</v>
      </c>
      <c r="H113" s="18">
        <f t="shared" si="6"/>
        <v>100</v>
      </c>
      <c r="K113">
        <f t="shared" si="7"/>
        <v>33.177570093457945</v>
      </c>
      <c r="L113">
        <f t="shared" si="8"/>
        <v>44.392523364485989</v>
      </c>
      <c r="M113">
        <f t="shared" si="9"/>
        <v>20.560747663551403</v>
      </c>
      <c r="N113">
        <f t="shared" si="10"/>
        <v>1.8691588785046731</v>
      </c>
    </row>
    <row r="114" spans="3:14" x14ac:dyDescent="0.2">
      <c r="C114" s="5">
        <v>60.79999999999999</v>
      </c>
      <c r="D114" s="5">
        <v>10.899999999999999</v>
      </c>
      <c r="E114" s="5">
        <v>19.499999999999996</v>
      </c>
      <c r="F114" s="5">
        <v>7.8999999999999986</v>
      </c>
      <c r="G114" s="5">
        <v>0.89999999999999991</v>
      </c>
      <c r="H114" s="18">
        <f t="shared" si="6"/>
        <v>100</v>
      </c>
      <c r="K114">
        <f t="shared" si="7"/>
        <v>27.806122448979593</v>
      </c>
      <c r="L114">
        <f t="shared" si="8"/>
        <v>49.744897959183668</v>
      </c>
      <c r="M114">
        <f t="shared" si="9"/>
        <v>20.153061224489793</v>
      </c>
      <c r="N114">
        <f t="shared" si="10"/>
        <v>2.295918367346939</v>
      </c>
    </row>
    <row r="115" spans="3:14" x14ac:dyDescent="0.2">
      <c r="C115" s="5">
        <v>54.1</v>
      </c>
      <c r="D115" s="5">
        <v>15.299999999999999</v>
      </c>
      <c r="E115" s="5">
        <v>19.7</v>
      </c>
      <c r="F115" s="5">
        <v>9.6</v>
      </c>
      <c r="G115" s="5">
        <v>1.3</v>
      </c>
      <c r="H115" s="18">
        <f t="shared" si="6"/>
        <v>100</v>
      </c>
      <c r="K115">
        <f t="shared" si="7"/>
        <v>33.333333333333329</v>
      </c>
      <c r="L115">
        <f t="shared" si="8"/>
        <v>42.919389978213509</v>
      </c>
      <c r="M115">
        <f t="shared" si="9"/>
        <v>20.915032679738562</v>
      </c>
      <c r="N115">
        <f t="shared" si="10"/>
        <v>2.8322440087145972</v>
      </c>
    </row>
    <row r="116" spans="3:14" x14ac:dyDescent="0.2">
      <c r="C116" s="5">
        <v>56.699999999999982</v>
      </c>
      <c r="D116" s="5">
        <v>12.9</v>
      </c>
      <c r="E116" s="5">
        <v>19</v>
      </c>
      <c r="F116" s="5">
        <v>10.199999999999999</v>
      </c>
      <c r="G116" s="5">
        <v>1.2</v>
      </c>
      <c r="H116" s="18">
        <f t="shared" si="6"/>
        <v>99.999999999999986</v>
      </c>
      <c r="K116">
        <f t="shared" si="7"/>
        <v>29.792147806004621</v>
      </c>
      <c r="L116">
        <f t="shared" si="8"/>
        <v>43.879907621247114</v>
      </c>
      <c r="M116">
        <f t="shared" si="9"/>
        <v>23.556581986143186</v>
      </c>
      <c r="N116">
        <f t="shared" si="10"/>
        <v>2.7713625866050808</v>
      </c>
    </row>
    <row r="117" spans="3:14" x14ac:dyDescent="0.2">
      <c r="C117" s="5">
        <v>59.9</v>
      </c>
      <c r="D117" s="5">
        <v>12.1</v>
      </c>
      <c r="E117" s="5">
        <v>16.899999999999999</v>
      </c>
      <c r="F117" s="5">
        <v>9.6</v>
      </c>
      <c r="G117" s="5">
        <v>1.5</v>
      </c>
      <c r="H117" s="18">
        <f t="shared" si="6"/>
        <v>100</v>
      </c>
      <c r="K117">
        <f t="shared" si="7"/>
        <v>30.174563591022441</v>
      </c>
      <c r="L117">
        <f t="shared" si="8"/>
        <v>42.144638403990022</v>
      </c>
      <c r="M117">
        <f t="shared" si="9"/>
        <v>23.940149625935163</v>
      </c>
      <c r="N117">
        <f t="shared" si="10"/>
        <v>3.7406483790523692</v>
      </c>
    </row>
    <row r="118" spans="3:14" x14ac:dyDescent="0.2">
      <c r="C118" s="5">
        <v>58.70000000000001</v>
      </c>
      <c r="D118" s="5">
        <v>11.400000000000002</v>
      </c>
      <c r="E118" s="5">
        <v>17.300000000000004</v>
      </c>
      <c r="F118" s="5">
        <v>11.000000000000002</v>
      </c>
      <c r="G118" s="5">
        <v>1.6000000000000003</v>
      </c>
      <c r="H118" s="18">
        <f t="shared" si="6"/>
        <v>100</v>
      </c>
      <c r="K118">
        <f t="shared" si="7"/>
        <v>27.602905569007262</v>
      </c>
      <c r="L118">
        <f t="shared" si="8"/>
        <v>41.888619854721547</v>
      </c>
      <c r="M118">
        <f t="shared" si="9"/>
        <v>26.634382566585952</v>
      </c>
      <c r="N118">
        <f t="shared" si="10"/>
        <v>3.8740920096852296</v>
      </c>
    </row>
    <row r="119" spans="3:14" x14ac:dyDescent="0.2">
      <c r="C119" s="5">
        <v>53.62907424763096</v>
      </c>
      <c r="D119" s="5">
        <v>13.558263042799126</v>
      </c>
      <c r="E119" s="5">
        <v>8.778506716651048</v>
      </c>
      <c r="F119" s="5">
        <v>21.149640737269603</v>
      </c>
      <c r="G119" s="5">
        <v>2.8845152556492768</v>
      </c>
      <c r="H119" s="18">
        <f t="shared" si="6"/>
        <v>100.00000000000003</v>
      </c>
      <c r="K119">
        <f t="shared" si="7"/>
        <v>29.238715472715025</v>
      </c>
      <c r="L119">
        <f t="shared" si="8"/>
        <v>18.931057713900742</v>
      </c>
      <c r="M119">
        <f t="shared" si="9"/>
        <v>45.609701324949469</v>
      </c>
      <c r="N119">
        <f t="shared" si="10"/>
        <v>6.220525488434764</v>
      </c>
    </row>
    <row r="120" spans="3:14" x14ac:dyDescent="0.2">
      <c r="C120" s="5">
        <v>53.341766814252587</v>
      </c>
      <c r="D120" s="5">
        <v>13.609529833438753</v>
      </c>
      <c r="E120" s="5">
        <v>9.5720008433480928</v>
      </c>
      <c r="F120" s="5">
        <v>20.662028252161079</v>
      </c>
      <c r="G120" s="5">
        <v>2.8146742567994938</v>
      </c>
      <c r="H120" s="18">
        <f t="shared" si="6"/>
        <v>100</v>
      </c>
      <c r="K120">
        <f t="shared" si="7"/>
        <v>29.168549480343426</v>
      </c>
      <c r="L120">
        <f t="shared" si="8"/>
        <v>20.515137821961137</v>
      </c>
      <c r="M120">
        <f t="shared" si="9"/>
        <v>44.283777677361044</v>
      </c>
      <c r="N120">
        <f t="shared" si="10"/>
        <v>6.0325350203343868</v>
      </c>
    </row>
    <row r="121" spans="3:14" x14ac:dyDescent="0.2">
      <c r="C121" s="5">
        <v>54.797570850202426</v>
      </c>
      <c r="D121" s="5">
        <v>13.663967611336034</v>
      </c>
      <c r="E121" s="5">
        <v>8.5222672064777338</v>
      </c>
      <c r="F121" s="5">
        <v>20.283400809716596</v>
      </c>
      <c r="G121" s="5">
        <v>2.7327935222672064</v>
      </c>
      <c r="H121" s="18">
        <f t="shared" si="6"/>
        <v>99.999999999999986</v>
      </c>
      <c r="K121">
        <f t="shared" si="7"/>
        <v>30.228392297357814</v>
      </c>
      <c r="L121">
        <f t="shared" si="8"/>
        <v>18.853560232870578</v>
      </c>
      <c r="M121">
        <f t="shared" si="9"/>
        <v>44.872369010300034</v>
      </c>
      <c r="N121">
        <f t="shared" si="10"/>
        <v>6.0456784594715627</v>
      </c>
    </row>
    <row r="122" spans="3:14" x14ac:dyDescent="0.2">
      <c r="C122" s="5">
        <v>55.066747572815522</v>
      </c>
      <c r="D122" s="5">
        <v>12.874190938511324</v>
      </c>
      <c r="E122" s="5">
        <v>9.2536407766990276</v>
      </c>
      <c r="F122" s="5">
        <v>20.12540453074433</v>
      </c>
      <c r="G122" s="5">
        <v>2.6800161812297727</v>
      </c>
      <c r="H122" s="18">
        <f t="shared" si="6"/>
        <v>99.999999999999986</v>
      </c>
      <c r="K122">
        <f t="shared" si="7"/>
        <v>28.651811838847625</v>
      </c>
      <c r="L122">
        <f t="shared" si="8"/>
        <v>20.594193112761651</v>
      </c>
      <c r="M122">
        <f t="shared" si="9"/>
        <v>44.789556605896912</v>
      </c>
      <c r="N122">
        <f t="shared" si="10"/>
        <v>5.9644384424938099</v>
      </c>
    </row>
    <row r="123" spans="3:14" x14ac:dyDescent="0.2">
      <c r="C123" s="5">
        <v>57.830709466366791</v>
      </c>
      <c r="D123" s="5">
        <v>4.0891433244735227</v>
      </c>
      <c r="E123" s="5">
        <v>20.343488039255771</v>
      </c>
      <c r="F123" s="5">
        <v>14.772030259660598</v>
      </c>
      <c r="G123" s="5">
        <v>2.9646289102433037</v>
      </c>
      <c r="H123" s="18">
        <f t="shared" si="6"/>
        <v>99.999999999999986</v>
      </c>
      <c r="K123">
        <f t="shared" si="7"/>
        <v>9.696969696969699</v>
      </c>
      <c r="L123">
        <f t="shared" si="8"/>
        <v>48.242424242424242</v>
      </c>
      <c r="M123">
        <f t="shared" si="9"/>
        <v>35.030303030303031</v>
      </c>
      <c r="N123">
        <f t="shared" si="10"/>
        <v>7.0303030303030312</v>
      </c>
    </row>
    <row r="124" spans="3:14" x14ac:dyDescent="0.2">
      <c r="C124" s="5">
        <v>62.151475210382223</v>
      </c>
      <c r="D124" s="5">
        <v>3.8325053229240589</v>
      </c>
      <c r="E124" s="5">
        <v>15.15765994119436</v>
      </c>
      <c r="F124" s="5">
        <v>16.455439521443779</v>
      </c>
      <c r="G124" s="5">
        <v>2.4029200040555612</v>
      </c>
      <c r="H124" s="18">
        <f t="shared" si="6"/>
        <v>99.999999999999972</v>
      </c>
      <c r="K124">
        <f t="shared" si="7"/>
        <v>10.12590409858023</v>
      </c>
      <c r="L124">
        <f t="shared" si="8"/>
        <v>40.048218590945623</v>
      </c>
      <c r="M124">
        <f t="shared" si="9"/>
        <v>43.477096169300836</v>
      </c>
      <c r="N124">
        <f t="shared" si="10"/>
        <v>6.3487811411733208</v>
      </c>
    </row>
    <row r="125" spans="3:14" x14ac:dyDescent="0.2">
      <c r="C125" s="5">
        <v>64.329792615073345</v>
      </c>
      <c r="D125" s="5">
        <v>3.4294385432473442</v>
      </c>
      <c r="E125" s="5">
        <v>12.898330804248861</v>
      </c>
      <c r="F125" s="5">
        <v>17.339403136064742</v>
      </c>
      <c r="G125" s="5">
        <v>2.0030349013657056</v>
      </c>
      <c r="H125" s="18">
        <f t="shared" si="6"/>
        <v>100</v>
      </c>
      <c r="K125">
        <f t="shared" si="7"/>
        <v>9.6142938173567778</v>
      </c>
      <c r="L125">
        <f t="shared" si="8"/>
        <v>36.15995462280204</v>
      </c>
      <c r="M125">
        <f t="shared" si="9"/>
        <v>48.610323312535449</v>
      </c>
      <c r="N125">
        <f t="shared" si="10"/>
        <v>5.6154282473057284</v>
      </c>
    </row>
    <row r="126" spans="3:14" x14ac:dyDescent="0.2">
      <c r="C126" s="5">
        <v>60.439113640983933</v>
      </c>
      <c r="D126" s="5">
        <v>3.8320796909941044</v>
      </c>
      <c r="E126" s="5">
        <v>18.591177068509857</v>
      </c>
      <c r="F126" s="5">
        <v>14.738768042285017</v>
      </c>
      <c r="G126" s="5">
        <v>2.3988615572270784</v>
      </c>
      <c r="H126" s="18">
        <f t="shared" si="6"/>
        <v>99.999999999999986</v>
      </c>
      <c r="K126">
        <f t="shared" si="7"/>
        <v>9.6865364850976388</v>
      </c>
      <c r="L126">
        <f t="shared" si="8"/>
        <v>46.993833504624874</v>
      </c>
      <c r="M126">
        <f t="shared" si="9"/>
        <v>37.255909558067835</v>
      </c>
      <c r="N126">
        <f t="shared" si="10"/>
        <v>6.0637204522096617</v>
      </c>
    </row>
    <row r="127" spans="3:14" x14ac:dyDescent="0.2">
      <c r="C127" s="5">
        <v>63.235741059669735</v>
      </c>
      <c r="D127" s="5">
        <v>3.444433188126836</v>
      </c>
      <c r="E127" s="5">
        <v>14.618579677844187</v>
      </c>
      <c r="F127" s="5">
        <v>16.675108904872861</v>
      </c>
      <c r="G127" s="5">
        <v>2.0261371694863741</v>
      </c>
      <c r="H127" s="18">
        <f t="shared" si="6"/>
        <v>99.999999999999986</v>
      </c>
      <c r="K127">
        <f t="shared" si="7"/>
        <v>9.3689721686414984</v>
      </c>
      <c r="L127">
        <f t="shared" si="8"/>
        <v>39.763020115734356</v>
      </c>
      <c r="M127">
        <f t="shared" si="9"/>
        <v>45.356847616423259</v>
      </c>
      <c r="N127">
        <f t="shared" si="10"/>
        <v>5.5111600992008816</v>
      </c>
    </row>
    <row r="128" spans="3:14" x14ac:dyDescent="0.2">
      <c r="C128" s="5">
        <v>64.790298130368868</v>
      </c>
      <c r="D128" s="5">
        <v>3.2945932289034863</v>
      </c>
      <c r="E128" s="5">
        <v>12.632642748863063</v>
      </c>
      <c r="F128" s="5">
        <v>17.412834765032844</v>
      </c>
      <c r="G128" s="5">
        <v>1.8696311268317334</v>
      </c>
      <c r="H128" s="18">
        <f t="shared" si="6"/>
        <v>99.999999999999986</v>
      </c>
      <c r="K128">
        <f t="shared" si="7"/>
        <v>9.3570608495981595</v>
      </c>
      <c r="L128">
        <f t="shared" si="8"/>
        <v>35.878300803673937</v>
      </c>
      <c r="M128">
        <f t="shared" si="9"/>
        <v>49.454649827784145</v>
      </c>
      <c r="N128">
        <f t="shared" si="10"/>
        <v>5.3099885189437419</v>
      </c>
    </row>
    <row r="129" spans="3:14" x14ac:dyDescent="0.2">
      <c r="C129" s="5">
        <v>64.097877957153003</v>
      </c>
      <c r="D129" s="5">
        <v>3.4622804345618845</v>
      </c>
      <c r="E129" s="5">
        <v>15.361965681795105</v>
      </c>
      <c r="F129" s="5">
        <v>15.047212915016752</v>
      </c>
      <c r="G129" s="5">
        <v>2.030663011473246</v>
      </c>
      <c r="H129" s="18">
        <f t="shared" si="6"/>
        <v>100</v>
      </c>
      <c r="K129">
        <f t="shared" si="7"/>
        <v>9.6436651583710429</v>
      </c>
      <c r="L129">
        <f t="shared" si="8"/>
        <v>42.78846153846154</v>
      </c>
      <c r="M129">
        <f t="shared" si="9"/>
        <v>41.911764705882362</v>
      </c>
      <c r="N129">
        <f t="shared" si="10"/>
        <v>5.6561085972850682</v>
      </c>
    </row>
    <row r="130" spans="3:14" x14ac:dyDescent="0.2">
      <c r="C130" s="5">
        <v>64.737427906506113</v>
      </c>
      <c r="D130" s="5">
        <v>3.3593038551047254</v>
      </c>
      <c r="E130" s="5">
        <v>13.153900637458262</v>
      </c>
      <c r="F130" s="5">
        <v>16.816756045735101</v>
      </c>
      <c r="G130" s="5">
        <v>1.9326115551957908</v>
      </c>
      <c r="H130" s="18">
        <f t="shared" si="6"/>
        <v>100</v>
      </c>
      <c r="K130">
        <f t="shared" si="7"/>
        <v>9.5265423242467708</v>
      </c>
      <c r="L130">
        <f t="shared" si="8"/>
        <v>37.302725968436157</v>
      </c>
      <c r="M130">
        <f t="shared" si="9"/>
        <v>47.690100430416067</v>
      </c>
      <c r="N130">
        <f t="shared" si="10"/>
        <v>5.4806312769010042</v>
      </c>
    </row>
    <row r="131" spans="3:14" x14ac:dyDescent="0.2">
      <c r="C131" s="5">
        <v>64.852035147964841</v>
      </c>
      <c r="D131" s="5">
        <v>3.2824967175032826</v>
      </c>
      <c r="E131" s="5">
        <v>12.412887587112412</v>
      </c>
      <c r="F131" s="5">
        <v>17.594182405817595</v>
      </c>
      <c r="G131" s="5">
        <v>1.8583981416018585</v>
      </c>
      <c r="H131" s="18">
        <f t="shared" ref="H131:H194" si="11">SUM(C131:G131)</f>
        <v>99.999999999999972</v>
      </c>
      <c r="K131">
        <f t="shared" ref="K131:K194" si="12">(D131/SUM($D131:$G131))*100</f>
        <v>9.3390804597701145</v>
      </c>
      <c r="L131">
        <f t="shared" ref="L131:L194" si="13">(E131/SUM($D131:$G131))*100</f>
        <v>35.31609195402298</v>
      </c>
      <c r="M131">
        <f t="shared" ref="M131:M194" si="14">(F131/SUM($D131:$G131))*100</f>
        <v>50.057471264367813</v>
      </c>
      <c r="N131">
        <f t="shared" ref="N131:N194" si="15">(G131/SUM($D131:$G131))*100</f>
        <v>5.2873563218390807</v>
      </c>
    </row>
    <row r="132" spans="3:14" x14ac:dyDescent="0.2">
      <c r="C132" s="5">
        <v>55.1</v>
      </c>
      <c r="D132" s="5">
        <v>9.2000000000000011</v>
      </c>
      <c r="E132" s="5">
        <v>12.800000000000002</v>
      </c>
      <c r="F132" s="5">
        <v>20.800000000000004</v>
      </c>
      <c r="G132" s="5">
        <v>2.1000000000000005</v>
      </c>
      <c r="H132" s="18">
        <f t="shared" si="11"/>
        <v>100</v>
      </c>
      <c r="K132">
        <f t="shared" si="12"/>
        <v>20.489977728285076</v>
      </c>
      <c r="L132">
        <f t="shared" si="13"/>
        <v>28.507795100222715</v>
      </c>
      <c r="M132">
        <f t="shared" si="14"/>
        <v>46.325167037861917</v>
      </c>
      <c r="N132">
        <f t="shared" si="15"/>
        <v>4.6770601336302899</v>
      </c>
    </row>
    <row r="133" spans="3:14" x14ac:dyDescent="0.2">
      <c r="C133" s="5">
        <v>52.5</v>
      </c>
      <c r="D133" s="5">
        <v>11.600000000000001</v>
      </c>
      <c r="E133" s="5">
        <v>14.700000000000003</v>
      </c>
      <c r="F133" s="5">
        <v>18.400000000000002</v>
      </c>
      <c r="G133" s="5">
        <v>2.8000000000000003</v>
      </c>
      <c r="H133" s="18">
        <f t="shared" si="11"/>
        <v>100</v>
      </c>
      <c r="K133">
        <f t="shared" si="12"/>
        <v>24.421052631578952</v>
      </c>
      <c r="L133">
        <f t="shared" si="13"/>
        <v>30.947368421052641</v>
      </c>
      <c r="M133">
        <f t="shared" si="14"/>
        <v>38.736842105263165</v>
      </c>
      <c r="N133">
        <f t="shared" si="15"/>
        <v>5.8947368421052637</v>
      </c>
    </row>
    <row r="134" spans="3:14" x14ac:dyDescent="0.2">
      <c r="C134" s="5">
        <v>57.300000000000004</v>
      </c>
      <c r="D134" s="5">
        <v>7.6000000000000014</v>
      </c>
      <c r="E134" s="5">
        <v>13.700000000000001</v>
      </c>
      <c r="F134" s="5">
        <v>18.600000000000005</v>
      </c>
      <c r="G134" s="5">
        <v>2.8000000000000003</v>
      </c>
      <c r="H134" s="18">
        <f t="shared" si="11"/>
        <v>100.00000000000001</v>
      </c>
      <c r="K134">
        <f t="shared" si="12"/>
        <v>17.798594847775178</v>
      </c>
      <c r="L134">
        <f t="shared" si="13"/>
        <v>32.084309133489462</v>
      </c>
      <c r="M134">
        <f t="shared" si="14"/>
        <v>43.559718969555043</v>
      </c>
      <c r="N134">
        <f t="shared" si="15"/>
        <v>6.557377049180328</v>
      </c>
    </row>
    <row r="135" spans="3:14" x14ac:dyDescent="0.2">
      <c r="C135" s="5">
        <v>53.300000000000004</v>
      </c>
      <c r="D135" s="5">
        <v>10.400000000000002</v>
      </c>
      <c r="E135" s="5">
        <v>13.400000000000004</v>
      </c>
      <c r="F135" s="5">
        <v>20.300000000000004</v>
      </c>
      <c r="G135" s="5">
        <v>2.6000000000000005</v>
      </c>
      <c r="H135" s="18">
        <f t="shared" si="11"/>
        <v>100</v>
      </c>
      <c r="K135">
        <f t="shared" si="12"/>
        <v>22.269807280513916</v>
      </c>
      <c r="L135">
        <f t="shared" si="13"/>
        <v>28.693790149892934</v>
      </c>
      <c r="M135">
        <f t="shared" si="14"/>
        <v>43.468950749464668</v>
      </c>
      <c r="N135">
        <f t="shared" si="15"/>
        <v>5.5674518201284791</v>
      </c>
    </row>
    <row r="136" spans="3:14" x14ac:dyDescent="0.2">
      <c r="C136" s="5">
        <v>54.500000000000007</v>
      </c>
      <c r="D136" s="5">
        <v>9.6</v>
      </c>
      <c r="E136" s="5">
        <v>12.2</v>
      </c>
      <c r="F136" s="5">
        <v>21.5</v>
      </c>
      <c r="G136" s="5">
        <v>2.2000000000000002</v>
      </c>
      <c r="H136" s="18">
        <f t="shared" si="11"/>
        <v>100.00000000000001</v>
      </c>
      <c r="K136">
        <f t="shared" si="12"/>
        <v>21.098901098901099</v>
      </c>
      <c r="L136">
        <f t="shared" si="13"/>
        <v>26.813186813186814</v>
      </c>
      <c r="M136">
        <f t="shared" si="14"/>
        <v>47.252747252747248</v>
      </c>
      <c r="N136">
        <f t="shared" si="15"/>
        <v>4.8351648351648358</v>
      </c>
    </row>
    <row r="137" spans="3:14" x14ac:dyDescent="0.2">
      <c r="C137" s="5">
        <v>51.800000000000004</v>
      </c>
      <c r="D137" s="5">
        <v>12.3</v>
      </c>
      <c r="E137" s="5">
        <v>14.499999999999998</v>
      </c>
      <c r="F137" s="5">
        <v>18.399999999999999</v>
      </c>
      <c r="G137" s="5">
        <v>3</v>
      </c>
      <c r="H137" s="18">
        <f t="shared" si="11"/>
        <v>100</v>
      </c>
      <c r="K137">
        <f t="shared" si="12"/>
        <v>25.51867219917013</v>
      </c>
      <c r="L137">
        <f t="shared" si="13"/>
        <v>30.08298755186722</v>
      </c>
      <c r="M137">
        <f t="shared" si="14"/>
        <v>38.174273858921168</v>
      </c>
      <c r="N137">
        <f t="shared" si="15"/>
        <v>6.2240663900414948</v>
      </c>
    </row>
    <row r="138" spans="3:14" x14ac:dyDescent="0.2">
      <c r="C138" s="5">
        <v>51.9</v>
      </c>
      <c r="D138" s="5">
        <v>11.8</v>
      </c>
      <c r="E138" s="5">
        <v>12.7</v>
      </c>
      <c r="F138" s="5">
        <v>21.1</v>
      </c>
      <c r="G138" s="5">
        <v>2.5</v>
      </c>
      <c r="H138" s="18">
        <f t="shared" si="11"/>
        <v>100</v>
      </c>
      <c r="K138">
        <f t="shared" si="12"/>
        <v>24.532224532224532</v>
      </c>
      <c r="L138">
        <f t="shared" si="13"/>
        <v>26.4033264033264</v>
      </c>
      <c r="M138">
        <f t="shared" si="14"/>
        <v>43.86694386694387</v>
      </c>
      <c r="N138">
        <f t="shared" si="15"/>
        <v>5.1975051975051967</v>
      </c>
    </row>
    <row r="139" spans="3:14" x14ac:dyDescent="0.2">
      <c r="C139" s="5">
        <v>49.4</v>
      </c>
      <c r="D139" s="5">
        <v>13.100000000000001</v>
      </c>
      <c r="E139" s="5">
        <v>14.2</v>
      </c>
      <c r="F139" s="5">
        <v>20.399999999999999</v>
      </c>
      <c r="G139" s="5">
        <v>2.9</v>
      </c>
      <c r="H139" s="18">
        <f t="shared" si="11"/>
        <v>100</v>
      </c>
      <c r="K139">
        <f t="shared" si="12"/>
        <v>25.889328063241106</v>
      </c>
      <c r="L139">
        <f t="shared" si="13"/>
        <v>28.063241106719367</v>
      </c>
      <c r="M139">
        <f t="shared" si="14"/>
        <v>40.316205533596836</v>
      </c>
      <c r="N139">
        <f t="shared" si="15"/>
        <v>5.7312252964426875</v>
      </c>
    </row>
    <row r="140" spans="3:14" x14ac:dyDescent="0.2">
      <c r="C140" s="5">
        <v>0</v>
      </c>
      <c r="D140" s="5">
        <v>23.052796654469418</v>
      </c>
      <c r="E140" s="5">
        <v>31.228437009932041</v>
      </c>
      <c r="F140" s="5">
        <v>35.744903293256655</v>
      </c>
      <c r="G140" s="5">
        <v>9.9738630423418702</v>
      </c>
      <c r="H140" s="18">
        <f t="shared" si="11"/>
        <v>99.999999999999986</v>
      </c>
      <c r="K140">
        <f t="shared" si="12"/>
        <v>23.052796654469422</v>
      </c>
      <c r="L140">
        <f t="shared" si="13"/>
        <v>31.228437009932048</v>
      </c>
      <c r="M140">
        <f t="shared" si="14"/>
        <v>35.744903293256655</v>
      </c>
      <c r="N140">
        <f t="shared" si="15"/>
        <v>9.9738630423418719</v>
      </c>
    </row>
    <row r="141" spans="3:14" x14ac:dyDescent="0.2">
      <c r="C141" s="5">
        <v>0</v>
      </c>
      <c r="D141" s="5">
        <v>24.974200206398351</v>
      </c>
      <c r="E141" s="5">
        <v>33.808049535603715</v>
      </c>
      <c r="F141" s="5">
        <v>30.980392156862745</v>
      </c>
      <c r="G141" s="5">
        <v>10.237358101135191</v>
      </c>
      <c r="H141" s="18">
        <f t="shared" si="11"/>
        <v>100</v>
      </c>
      <c r="K141">
        <f t="shared" si="12"/>
        <v>24.974200206398351</v>
      </c>
      <c r="L141">
        <f t="shared" si="13"/>
        <v>33.808049535603715</v>
      </c>
      <c r="M141">
        <f t="shared" si="14"/>
        <v>30.980392156862745</v>
      </c>
      <c r="N141">
        <f t="shared" si="15"/>
        <v>10.237358101135191</v>
      </c>
    </row>
    <row r="142" spans="3:14" x14ac:dyDescent="0.2">
      <c r="C142" s="5">
        <v>0</v>
      </c>
      <c r="D142" s="5">
        <v>21.16087274245746</v>
      </c>
      <c r="E142" s="5">
        <v>31.955318926819089</v>
      </c>
      <c r="F142" s="5">
        <v>36.25639419563629</v>
      </c>
      <c r="G142" s="5">
        <v>10.627414135087172</v>
      </c>
      <c r="H142" s="18">
        <f t="shared" si="11"/>
        <v>100</v>
      </c>
      <c r="K142">
        <f t="shared" si="12"/>
        <v>21.16087274245746</v>
      </c>
      <c r="L142">
        <f t="shared" si="13"/>
        <v>31.955318926819089</v>
      </c>
      <c r="M142">
        <f t="shared" si="14"/>
        <v>36.25639419563629</v>
      </c>
      <c r="N142">
        <f t="shared" si="15"/>
        <v>10.627414135087172</v>
      </c>
    </row>
    <row r="143" spans="3:14" x14ac:dyDescent="0.2">
      <c r="C143" s="5">
        <v>0</v>
      </c>
      <c r="D143" s="5">
        <v>23.705384774087062</v>
      </c>
      <c r="E143" s="5">
        <v>34.351145038167928</v>
      </c>
      <c r="F143" s="5">
        <v>31.473076129564674</v>
      </c>
      <c r="G143" s="5">
        <v>10.470394058180316</v>
      </c>
      <c r="H143" s="18">
        <f t="shared" si="11"/>
        <v>99.999999999999986</v>
      </c>
      <c r="K143">
        <f t="shared" si="12"/>
        <v>23.705384774087065</v>
      </c>
      <c r="L143">
        <f t="shared" si="13"/>
        <v>34.351145038167935</v>
      </c>
      <c r="M143">
        <f t="shared" si="14"/>
        <v>31.473076129564681</v>
      </c>
      <c r="N143">
        <f t="shared" si="15"/>
        <v>10.470394058180318</v>
      </c>
    </row>
    <row r="144" spans="3:14" x14ac:dyDescent="0.2">
      <c r="C144" s="5">
        <v>0</v>
      </c>
      <c r="D144" s="5">
        <v>22.165054537970775</v>
      </c>
      <c r="E144" s="5">
        <v>32.197983124099608</v>
      </c>
      <c r="F144" s="5">
        <v>35.593743568635524</v>
      </c>
      <c r="G144" s="5">
        <v>10.043218769294091</v>
      </c>
      <c r="H144" s="18">
        <f t="shared" si="11"/>
        <v>99.999999999999986</v>
      </c>
      <c r="K144">
        <f t="shared" si="12"/>
        <v>22.165054537970779</v>
      </c>
      <c r="L144">
        <f t="shared" si="13"/>
        <v>32.197983124099608</v>
      </c>
      <c r="M144">
        <f t="shared" si="14"/>
        <v>35.593743568635524</v>
      </c>
      <c r="N144">
        <f t="shared" si="15"/>
        <v>10.043218769294091</v>
      </c>
    </row>
    <row r="145" spans="3:14" x14ac:dyDescent="0.2">
      <c r="C145" s="5">
        <v>0</v>
      </c>
      <c r="D145" s="5">
        <v>23.680441898527</v>
      </c>
      <c r="E145" s="5">
        <v>34.226677577741405</v>
      </c>
      <c r="F145" s="5">
        <v>31.628477905073648</v>
      </c>
      <c r="G145" s="5">
        <v>10.464402618657937</v>
      </c>
      <c r="H145" s="18">
        <f t="shared" si="11"/>
        <v>100</v>
      </c>
      <c r="K145">
        <f t="shared" si="12"/>
        <v>23.680441898527</v>
      </c>
      <c r="L145">
        <f t="shared" si="13"/>
        <v>34.226677577741405</v>
      </c>
      <c r="M145">
        <f t="shared" si="14"/>
        <v>31.628477905073648</v>
      </c>
      <c r="N145">
        <f t="shared" si="15"/>
        <v>10.464402618657937</v>
      </c>
    </row>
    <row r="146" spans="3:14" x14ac:dyDescent="0.2">
      <c r="C146" s="5">
        <v>0</v>
      </c>
      <c r="D146" s="5">
        <v>19.018534119629319</v>
      </c>
      <c r="E146" s="5">
        <v>36.678601516427975</v>
      </c>
      <c r="F146" s="5">
        <v>33.572030328559393</v>
      </c>
      <c r="G146" s="5">
        <v>10.730834035383321</v>
      </c>
      <c r="H146" s="18">
        <f t="shared" si="11"/>
        <v>100.00000000000001</v>
      </c>
      <c r="K146">
        <f t="shared" si="12"/>
        <v>19.018534119629315</v>
      </c>
      <c r="L146">
        <f t="shared" si="13"/>
        <v>36.678601516427975</v>
      </c>
      <c r="M146">
        <f t="shared" si="14"/>
        <v>33.572030328559386</v>
      </c>
      <c r="N146">
        <f t="shared" si="15"/>
        <v>10.730834035383321</v>
      </c>
    </row>
    <row r="147" spans="3:14" x14ac:dyDescent="0.2">
      <c r="C147" s="5">
        <v>0</v>
      </c>
      <c r="D147" s="5">
        <v>22.551041451845741</v>
      </c>
      <c r="E147" s="5">
        <v>34.976283769849452</v>
      </c>
      <c r="F147" s="5">
        <v>32.161270365023711</v>
      </c>
      <c r="G147" s="5">
        <v>10.311404413281089</v>
      </c>
      <c r="H147" s="18">
        <f t="shared" si="11"/>
        <v>100</v>
      </c>
      <c r="K147">
        <f t="shared" si="12"/>
        <v>22.551041451845741</v>
      </c>
      <c r="L147">
        <f t="shared" si="13"/>
        <v>34.976283769849452</v>
      </c>
      <c r="M147">
        <f t="shared" si="14"/>
        <v>32.161270365023711</v>
      </c>
      <c r="N147">
        <f t="shared" si="15"/>
        <v>10.311404413281089</v>
      </c>
    </row>
    <row r="148" spans="3:14" x14ac:dyDescent="0.2">
      <c r="C148" s="5">
        <v>0</v>
      </c>
      <c r="D148" s="5">
        <v>19.91373869135283</v>
      </c>
      <c r="E148" s="5">
        <v>35.440774247843471</v>
      </c>
      <c r="F148" s="5">
        <v>34.104775930990961</v>
      </c>
      <c r="G148" s="5">
        <v>10.540711129812751</v>
      </c>
      <c r="H148" s="18">
        <f t="shared" si="11"/>
        <v>100.00000000000001</v>
      </c>
      <c r="K148">
        <f t="shared" si="12"/>
        <v>19.91373869135283</v>
      </c>
      <c r="L148">
        <f t="shared" si="13"/>
        <v>35.440774247843464</v>
      </c>
      <c r="M148">
        <f t="shared" si="14"/>
        <v>34.104775930990954</v>
      </c>
      <c r="N148">
        <f t="shared" si="15"/>
        <v>10.540711129812749</v>
      </c>
    </row>
    <row r="149" spans="3:14" x14ac:dyDescent="0.2">
      <c r="C149" s="5">
        <v>0</v>
      </c>
      <c r="D149" s="5">
        <v>22.71832590904382</v>
      </c>
      <c r="E149" s="5">
        <v>35.512275976380401</v>
      </c>
      <c r="F149" s="5">
        <v>31.699989640526262</v>
      </c>
      <c r="G149" s="5">
        <v>10.069408474049519</v>
      </c>
      <c r="H149" s="18">
        <f t="shared" si="11"/>
        <v>100.00000000000001</v>
      </c>
      <c r="K149">
        <f t="shared" si="12"/>
        <v>22.718325909043816</v>
      </c>
      <c r="L149">
        <f t="shared" si="13"/>
        <v>35.512275976380394</v>
      </c>
      <c r="M149">
        <f t="shared" si="14"/>
        <v>31.699989640526255</v>
      </c>
      <c r="N149">
        <f t="shared" si="15"/>
        <v>10.069408474049517</v>
      </c>
    </row>
    <row r="150" spans="3:14" x14ac:dyDescent="0.2">
      <c r="C150" s="5">
        <v>0</v>
      </c>
      <c r="D150" s="5">
        <v>21.229637414608511</v>
      </c>
      <c r="E150" s="5">
        <v>33.547031003678399</v>
      </c>
      <c r="F150" s="5">
        <v>34.881765633210712</v>
      </c>
      <c r="G150" s="5">
        <v>10.341565948502364</v>
      </c>
      <c r="H150" s="18">
        <f t="shared" si="11"/>
        <v>99.999999999999986</v>
      </c>
      <c r="K150">
        <f t="shared" si="12"/>
        <v>21.229637414608515</v>
      </c>
      <c r="L150">
        <f t="shared" si="13"/>
        <v>33.547031003678399</v>
      </c>
      <c r="M150">
        <f t="shared" si="14"/>
        <v>34.881765633210712</v>
      </c>
      <c r="N150">
        <f t="shared" si="15"/>
        <v>10.341565948502366</v>
      </c>
    </row>
    <row r="151" spans="3:14" x14ac:dyDescent="0.2">
      <c r="C151" s="5">
        <v>0</v>
      </c>
      <c r="D151" s="5">
        <v>22.935493923340609</v>
      </c>
      <c r="E151" s="5">
        <v>35.473148436688483</v>
      </c>
      <c r="F151" s="5">
        <v>31.681728472005823</v>
      </c>
      <c r="G151" s="5">
        <v>9.9096291679650985</v>
      </c>
      <c r="H151" s="18">
        <f t="shared" si="11"/>
        <v>100.00000000000001</v>
      </c>
      <c r="K151">
        <f t="shared" si="12"/>
        <v>22.935493923340605</v>
      </c>
      <c r="L151">
        <f t="shared" si="13"/>
        <v>35.473148436688476</v>
      </c>
      <c r="M151">
        <f t="shared" si="14"/>
        <v>31.681728472005815</v>
      </c>
      <c r="N151">
        <f t="shared" si="15"/>
        <v>9.9096291679650985</v>
      </c>
    </row>
    <row r="152" spans="3:14" x14ac:dyDescent="0.2">
      <c r="C152" s="5">
        <v>0</v>
      </c>
      <c r="D152" s="5">
        <v>20.689296126613911</v>
      </c>
      <c r="E152" s="5">
        <v>38.140358184089962</v>
      </c>
      <c r="F152" s="5">
        <v>30.955851728446483</v>
      </c>
      <c r="G152" s="5">
        <v>10.214493960849644</v>
      </c>
      <c r="H152" s="18">
        <f t="shared" si="11"/>
        <v>100</v>
      </c>
      <c r="K152">
        <f t="shared" si="12"/>
        <v>20.689296126613911</v>
      </c>
      <c r="L152">
        <f t="shared" si="13"/>
        <v>38.140358184089962</v>
      </c>
      <c r="M152">
        <f t="shared" si="14"/>
        <v>30.955851728446483</v>
      </c>
      <c r="N152">
        <f t="shared" si="15"/>
        <v>10.214493960849644</v>
      </c>
    </row>
    <row r="153" spans="3:14" x14ac:dyDescent="0.2">
      <c r="C153" s="5">
        <v>0</v>
      </c>
      <c r="D153" s="5">
        <v>23.124294365185261</v>
      </c>
      <c r="E153" s="5">
        <v>36.65195524992302</v>
      </c>
      <c r="F153" s="5">
        <v>30.031817715282767</v>
      </c>
      <c r="G153" s="5">
        <v>10.191932669608949</v>
      </c>
      <c r="H153" s="18">
        <f t="shared" si="11"/>
        <v>100</v>
      </c>
      <c r="K153">
        <f t="shared" si="12"/>
        <v>23.124294365185261</v>
      </c>
      <c r="L153">
        <f t="shared" si="13"/>
        <v>36.65195524992302</v>
      </c>
      <c r="M153">
        <f t="shared" si="14"/>
        <v>30.031817715282767</v>
      </c>
      <c r="N153">
        <f t="shared" si="15"/>
        <v>10.191932669608949</v>
      </c>
    </row>
    <row r="154" spans="3:14" x14ac:dyDescent="0.2">
      <c r="C154" s="5">
        <v>0</v>
      </c>
      <c r="D154" s="5">
        <v>21.562922165644814</v>
      </c>
      <c r="E154" s="5">
        <v>35.498285357996465</v>
      </c>
      <c r="F154" s="5">
        <v>33.06661124389484</v>
      </c>
      <c r="G154" s="5">
        <v>9.8721812324638893</v>
      </c>
      <c r="H154" s="18">
        <f t="shared" si="11"/>
        <v>100.00000000000001</v>
      </c>
      <c r="K154">
        <f t="shared" si="12"/>
        <v>21.56292216564481</v>
      </c>
      <c r="L154">
        <f t="shared" si="13"/>
        <v>35.498285357996465</v>
      </c>
      <c r="M154">
        <f t="shared" si="14"/>
        <v>33.066611243894833</v>
      </c>
      <c r="N154">
        <f t="shared" si="15"/>
        <v>9.8721812324638876</v>
      </c>
    </row>
    <row r="155" spans="3:14" x14ac:dyDescent="0.2">
      <c r="C155" s="5">
        <v>0</v>
      </c>
      <c r="D155" s="5">
        <v>22.809543397778693</v>
      </c>
      <c r="E155" s="5">
        <v>34.913615795968745</v>
      </c>
      <c r="F155" s="5">
        <v>32.856849033319627</v>
      </c>
      <c r="G155" s="5">
        <v>9.4199917729329492</v>
      </c>
      <c r="H155" s="18">
        <f t="shared" si="11"/>
        <v>100</v>
      </c>
      <c r="K155">
        <f t="shared" si="12"/>
        <v>22.809543397778693</v>
      </c>
      <c r="L155">
        <f t="shared" si="13"/>
        <v>34.913615795968745</v>
      </c>
      <c r="M155">
        <f t="shared" si="14"/>
        <v>32.856849033319627</v>
      </c>
      <c r="N155">
        <f t="shared" si="15"/>
        <v>9.4199917729329492</v>
      </c>
    </row>
    <row r="156" spans="3:14" x14ac:dyDescent="0.2">
      <c r="C156" s="5">
        <v>0</v>
      </c>
      <c r="D156" s="5">
        <v>20.689296126613911</v>
      </c>
      <c r="E156" s="5">
        <v>38.140358184089962</v>
      </c>
      <c r="F156" s="5">
        <v>30.955851728446483</v>
      </c>
      <c r="G156" s="5">
        <v>10.214493960849644</v>
      </c>
      <c r="H156" s="18">
        <f t="shared" si="11"/>
        <v>100</v>
      </c>
      <c r="K156">
        <f t="shared" si="12"/>
        <v>20.689296126613911</v>
      </c>
      <c r="L156">
        <f t="shared" si="13"/>
        <v>38.140358184089962</v>
      </c>
      <c r="M156">
        <f t="shared" si="14"/>
        <v>30.955851728446483</v>
      </c>
      <c r="N156">
        <f t="shared" si="15"/>
        <v>10.214493960849644</v>
      </c>
    </row>
    <row r="157" spans="3:14" x14ac:dyDescent="0.2">
      <c r="C157" s="5">
        <v>0</v>
      </c>
      <c r="D157" s="5">
        <v>23.24067376252971</v>
      </c>
      <c r="E157" s="5">
        <v>36.106231270021702</v>
      </c>
      <c r="F157" s="5">
        <v>30.608659708587378</v>
      </c>
      <c r="G157" s="5">
        <v>10.044435258861219</v>
      </c>
      <c r="H157" s="18">
        <f t="shared" si="11"/>
        <v>100</v>
      </c>
      <c r="K157">
        <f t="shared" si="12"/>
        <v>23.24067376252971</v>
      </c>
      <c r="L157">
        <f t="shared" si="13"/>
        <v>36.106231270021702</v>
      </c>
      <c r="M157">
        <f t="shared" si="14"/>
        <v>30.608659708587378</v>
      </c>
      <c r="N157">
        <f t="shared" si="15"/>
        <v>10.044435258861219</v>
      </c>
    </row>
    <row r="158" spans="3:14" x14ac:dyDescent="0.2">
      <c r="C158" s="5">
        <v>0</v>
      </c>
      <c r="D158" s="5">
        <v>36.219382321618745</v>
      </c>
      <c r="E158" s="5">
        <v>12.076677316293932</v>
      </c>
      <c r="F158" s="5">
        <v>40.734824281150161</v>
      </c>
      <c r="G158" s="5">
        <v>10.969116080937169</v>
      </c>
      <c r="H158" s="18">
        <f t="shared" si="11"/>
        <v>100</v>
      </c>
      <c r="K158">
        <f t="shared" si="12"/>
        <v>36.219382321618745</v>
      </c>
      <c r="L158">
        <f t="shared" si="13"/>
        <v>12.076677316293932</v>
      </c>
      <c r="M158">
        <f t="shared" si="14"/>
        <v>40.734824281150161</v>
      </c>
      <c r="N158">
        <f t="shared" si="15"/>
        <v>10.969116080937169</v>
      </c>
    </row>
    <row r="159" spans="3:14" x14ac:dyDescent="0.2">
      <c r="C159" s="5">
        <v>0</v>
      </c>
      <c r="D159" s="5">
        <v>41.990039427267064</v>
      </c>
      <c r="E159" s="5">
        <v>13.758041087362525</v>
      </c>
      <c r="F159" s="5">
        <v>38.140693089852668</v>
      </c>
      <c r="G159" s="5">
        <v>6.1112263955177424</v>
      </c>
      <c r="H159" s="18">
        <f t="shared" si="11"/>
        <v>100</v>
      </c>
      <c r="K159">
        <f t="shared" si="12"/>
        <v>41.990039427267064</v>
      </c>
      <c r="L159">
        <f t="shared" si="13"/>
        <v>13.758041087362525</v>
      </c>
      <c r="M159">
        <f t="shared" si="14"/>
        <v>38.140693089852668</v>
      </c>
      <c r="N159">
        <f t="shared" si="15"/>
        <v>6.1112263955177424</v>
      </c>
    </row>
    <row r="160" spans="3:14" x14ac:dyDescent="0.2">
      <c r="C160" s="5">
        <v>0</v>
      </c>
      <c r="D160" s="5">
        <v>48.14316747698355</v>
      </c>
      <c r="E160" s="5">
        <v>15.154649839660703</v>
      </c>
      <c r="F160" s="5">
        <v>33.733319540705494</v>
      </c>
      <c r="G160" s="5">
        <v>2.9688631426502536</v>
      </c>
      <c r="H160" s="18">
        <f t="shared" si="11"/>
        <v>100</v>
      </c>
      <c r="K160">
        <f t="shared" si="12"/>
        <v>48.14316747698355</v>
      </c>
      <c r="L160">
        <f t="shared" si="13"/>
        <v>15.154649839660703</v>
      </c>
      <c r="M160">
        <f t="shared" si="14"/>
        <v>33.733319540705494</v>
      </c>
      <c r="N160">
        <f t="shared" si="15"/>
        <v>2.9688631426502536</v>
      </c>
    </row>
    <row r="161" spans="3:14" x14ac:dyDescent="0.2">
      <c r="C161" s="5">
        <v>0</v>
      </c>
      <c r="D161" s="5">
        <v>52.639160407449324</v>
      </c>
      <c r="E161" s="5">
        <v>16.112768803374834</v>
      </c>
      <c r="F161" s="5">
        <v>29.046198168535859</v>
      </c>
      <c r="G161" s="5">
        <v>2.2018726206399837</v>
      </c>
      <c r="H161" s="18">
        <f t="shared" si="11"/>
        <v>100</v>
      </c>
      <c r="K161">
        <f t="shared" si="12"/>
        <v>52.639160407449324</v>
      </c>
      <c r="L161">
        <f t="shared" si="13"/>
        <v>16.112768803374834</v>
      </c>
      <c r="M161">
        <f t="shared" si="14"/>
        <v>29.046198168535859</v>
      </c>
      <c r="N161">
        <f t="shared" si="15"/>
        <v>2.2018726206399837</v>
      </c>
    </row>
    <row r="162" spans="3:14" x14ac:dyDescent="0.2">
      <c r="C162" s="5">
        <v>0</v>
      </c>
      <c r="D162" s="5">
        <v>54.834142394822003</v>
      </c>
      <c r="E162" s="5">
        <v>22.97734627831715</v>
      </c>
      <c r="F162" s="5">
        <v>20.843446601941746</v>
      </c>
      <c r="G162" s="5">
        <v>1.3450647249190939</v>
      </c>
      <c r="H162" s="18">
        <f t="shared" si="11"/>
        <v>100</v>
      </c>
      <c r="K162">
        <f t="shared" si="12"/>
        <v>54.834142394822003</v>
      </c>
      <c r="L162">
        <f t="shared" si="13"/>
        <v>22.97734627831715</v>
      </c>
      <c r="M162">
        <f t="shared" si="14"/>
        <v>20.843446601941746</v>
      </c>
      <c r="N162">
        <f t="shared" si="15"/>
        <v>1.3450647249190939</v>
      </c>
    </row>
    <row r="163" spans="3:14" x14ac:dyDescent="0.2">
      <c r="C163" s="5">
        <v>0</v>
      </c>
      <c r="D163" s="5">
        <v>39.045597007380444</v>
      </c>
      <c r="E163" s="5">
        <v>48.094227075118795</v>
      </c>
      <c r="F163" s="5">
        <v>12.243453644727529</v>
      </c>
      <c r="G163" s="5">
        <v>0.61672227277322811</v>
      </c>
      <c r="H163" s="18">
        <f t="shared" si="11"/>
        <v>100</v>
      </c>
      <c r="K163">
        <f t="shared" si="12"/>
        <v>39.045597007380444</v>
      </c>
      <c r="L163">
        <f t="shared" si="13"/>
        <v>48.094227075118795</v>
      </c>
      <c r="M163">
        <f t="shared" si="14"/>
        <v>12.243453644727529</v>
      </c>
      <c r="N163">
        <f t="shared" si="15"/>
        <v>0.61672227277322811</v>
      </c>
    </row>
    <row r="164" spans="3:14" x14ac:dyDescent="0.2">
      <c r="C164" s="5">
        <v>0</v>
      </c>
      <c r="D164" s="5">
        <v>41.345862382540169</v>
      </c>
      <c r="E164" s="5">
        <v>42.770536526220063</v>
      </c>
      <c r="F164" s="5">
        <v>13.418207537637667</v>
      </c>
      <c r="G164" s="5">
        <v>2.4653935536021017</v>
      </c>
      <c r="H164" s="18">
        <f t="shared" si="11"/>
        <v>100</v>
      </c>
      <c r="K164">
        <f t="shared" si="12"/>
        <v>41.345862382540169</v>
      </c>
      <c r="L164">
        <f t="shared" si="13"/>
        <v>42.770536526220063</v>
      </c>
      <c r="M164">
        <f t="shared" si="14"/>
        <v>13.418207537637667</v>
      </c>
      <c r="N164">
        <f t="shared" si="15"/>
        <v>2.4653935536021017</v>
      </c>
    </row>
    <row r="165" spans="3:14" x14ac:dyDescent="0.2">
      <c r="C165" s="5">
        <v>0</v>
      </c>
      <c r="D165" s="5">
        <v>53.437436625430948</v>
      </c>
      <c r="E165" s="5">
        <v>26.27256134658284</v>
      </c>
      <c r="F165" s="5">
        <v>17.998377611032243</v>
      </c>
      <c r="G165" s="5">
        <v>2.2916244169539643</v>
      </c>
      <c r="H165" s="18">
        <f t="shared" si="11"/>
        <v>99.999999999999986</v>
      </c>
      <c r="K165">
        <f t="shared" si="12"/>
        <v>53.437436625430955</v>
      </c>
      <c r="L165">
        <f t="shared" si="13"/>
        <v>26.272561346582847</v>
      </c>
      <c r="M165">
        <f t="shared" si="14"/>
        <v>17.998377611032247</v>
      </c>
      <c r="N165">
        <f t="shared" si="15"/>
        <v>2.2916244169539643</v>
      </c>
    </row>
    <row r="166" spans="3:14" x14ac:dyDescent="0.2">
      <c r="C166" s="5">
        <v>0</v>
      </c>
      <c r="D166" s="5">
        <v>54.129453085800307</v>
      </c>
      <c r="E166" s="5">
        <v>23.652784746613147</v>
      </c>
      <c r="F166" s="5">
        <v>20.873055694932265</v>
      </c>
      <c r="G166" s="5">
        <v>1.3447064726542901</v>
      </c>
      <c r="H166" s="18">
        <f t="shared" si="11"/>
        <v>100.00000000000001</v>
      </c>
      <c r="K166">
        <f t="shared" si="12"/>
        <v>54.129453085800293</v>
      </c>
      <c r="L166">
        <f t="shared" si="13"/>
        <v>23.652784746613143</v>
      </c>
      <c r="M166">
        <f t="shared" si="14"/>
        <v>20.873055694932262</v>
      </c>
      <c r="N166">
        <f t="shared" si="15"/>
        <v>1.3447064726542899</v>
      </c>
    </row>
    <row r="167" spans="3:14" x14ac:dyDescent="0.2">
      <c r="C167" s="5">
        <v>0</v>
      </c>
      <c r="D167" s="5">
        <v>54.834142394822003</v>
      </c>
      <c r="E167" s="5">
        <v>22.97734627831715</v>
      </c>
      <c r="F167" s="5">
        <v>20.843446601941746</v>
      </c>
      <c r="G167" s="5">
        <v>1.3450647249190939</v>
      </c>
      <c r="H167" s="18">
        <f t="shared" si="11"/>
        <v>100</v>
      </c>
      <c r="K167">
        <f t="shared" si="12"/>
        <v>54.834142394822003</v>
      </c>
      <c r="L167">
        <f t="shared" si="13"/>
        <v>22.97734627831715</v>
      </c>
      <c r="M167">
        <f t="shared" si="14"/>
        <v>20.843446601941746</v>
      </c>
      <c r="N167">
        <f t="shared" si="15"/>
        <v>1.3450647249190939</v>
      </c>
    </row>
    <row r="168" spans="3:14" x14ac:dyDescent="0.2">
      <c r="C168" s="5">
        <v>11.688997524871017</v>
      </c>
      <c r="D168" s="5">
        <v>55.200998547741101</v>
      </c>
      <c r="E168" s="5">
        <v>12.687753504975042</v>
      </c>
      <c r="F168" s="5">
        <v>10.171393206493562</v>
      </c>
      <c r="G168" s="5">
        <v>10.250857215919293</v>
      </c>
      <c r="H168" s="18">
        <f t="shared" si="11"/>
        <v>100.00000000000001</v>
      </c>
      <c r="K168">
        <f t="shared" si="12"/>
        <v>62.507498500299938</v>
      </c>
      <c r="L168">
        <f t="shared" si="13"/>
        <v>14.367126574685063</v>
      </c>
      <c r="M168">
        <f t="shared" si="14"/>
        <v>11.517696460707857</v>
      </c>
      <c r="N168">
        <f t="shared" si="15"/>
        <v>11.607678464307138</v>
      </c>
    </row>
    <row r="169" spans="3:14" x14ac:dyDescent="0.2">
      <c r="C169" s="5">
        <v>12.964626114068679</v>
      </c>
      <c r="D169" s="5">
        <v>71.471892687006914</v>
      </c>
      <c r="E169" s="5">
        <v>5.6143430499475659</v>
      </c>
      <c r="F169" s="5">
        <v>0</v>
      </c>
      <c r="G169" s="5">
        <v>9.9491381489768482</v>
      </c>
      <c r="H169" s="18">
        <f t="shared" si="11"/>
        <v>100</v>
      </c>
      <c r="K169">
        <f t="shared" si="12"/>
        <v>82.118211821182129</v>
      </c>
      <c r="L169">
        <f t="shared" si="13"/>
        <v>6.4506450645064524</v>
      </c>
      <c r="M169">
        <f t="shared" si="14"/>
        <v>0</v>
      </c>
      <c r="N169">
        <f t="shared" si="15"/>
        <v>11.431143114311432</v>
      </c>
    </row>
    <row r="170" spans="3:14" x14ac:dyDescent="0.2">
      <c r="C170" s="5">
        <v>12.740692141230866</v>
      </c>
      <c r="D170" s="5">
        <v>73.846210931183563</v>
      </c>
      <c r="E170" s="5">
        <v>3.7263450800774494</v>
      </c>
      <c r="F170" s="5">
        <v>1.0035823986157066</v>
      </c>
      <c r="G170" s="5">
        <v>8.6831694488924178</v>
      </c>
      <c r="H170" s="18">
        <f t="shared" si="11"/>
        <v>100</v>
      </c>
      <c r="K170">
        <f t="shared" si="12"/>
        <v>84.628462846284634</v>
      </c>
      <c r="L170">
        <f t="shared" si="13"/>
        <v>4.2704270427042701</v>
      </c>
      <c r="M170">
        <f t="shared" si="14"/>
        <v>1.1501150115011503</v>
      </c>
      <c r="N170">
        <f t="shared" si="15"/>
        <v>9.9509950995099494</v>
      </c>
    </row>
    <row r="171" spans="3:14" x14ac:dyDescent="0.2">
      <c r="C171" s="5">
        <v>13.284786001261681</v>
      </c>
      <c r="D171" s="5">
        <v>71.449244604378819</v>
      </c>
      <c r="E171" s="5">
        <v>10.723454935163382</v>
      </c>
      <c r="F171" s="5">
        <v>3.3895480029497835</v>
      </c>
      <c r="G171" s="5">
        <v>1.152966456246346</v>
      </c>
      <c r="H171" s="18">
        <f t="shared" si="11"/>
        <v>100</v>
      </c>
      <c r="K171">
        <f t="shared" si="12"/>
        <v>82.395281415575326</v>
      </c>
      <c r="L171">
        <f t="shared" si="13"/>
        <v>12.366290112966109</v>
      </c>
      <c r="M171">
        <f t="shared" si="14"/>
        <v>3.9088273517944612</v>
      </c>
      <c r="N171">
        <f t="shared" si="15"/>
        <v>1.3296011196641007</v>
      </c>
    </row>
    <row r="172" spans="3:14" x14ac:dyDescent="0.2">
      <c r="C172" s="5">
        <v>0</v>
      </c>
      <c r="D172" s="5">
        <v>33.846153846153847</v>
      </c>
      <c r="E172" s="5">
        <v>30.76923076923077</v>
      </c>
      <c r="F172" s="5">
        <v>19.487179487179489</v>
      </c>
      <c r="G172" s="5">
        <v>15.897435897435896</v>
      </c>
      <c r="H172" s="18">
        <f t="shared" si="11"/>
        <v>100</v>
      </c>
      <c r="K172">
        <f t="shared" si="12"/>
        <v>33.846153846153847</v>
      </c>
      <c r="L172">
        <f t="shared" si="13"/>
        <v>30.76923076923077</v>
      </c>
      <c r="M172">
        <f t="shared" si="14"/>
        <v>19.487179487179489</v>
      </c>
      <c r="N172">
        <f t="shared" si="15"/>
        <v>15.897435897435896</v>
      </c>
    </row>
    <row r="173" spans="3:14" x14ac:dyDescent="0.2">
      <c r="C173" s="5">
        <v>0</v>
      </c>
      <c r="D173" s="5">
        <v>47.959183673469383</v>
      </c>
      <c r="E173" s="5">
        <v>24.489795918367346</v>
      </c>
      <c r="F173" s="5">
        <v>19.897959183673468</v>
      </c>
      <c r="G173" s="5">
        <v>7.6530612244897958</v>
      </c>
      <c r="H173" s="18">
        <f t="shared" si="11"/>
        <v>99.999999999999986</v>
      </c>
      <c r="K173">
        <f t="shared" si="12"/>
        <v>47.95918367346939</v>
      </c>
      <c r="L173">
        <f t="shared" si="13"/>
        <v>24.489795918367349</v>
      </c>
      <c r="M173">
        <f t="shared" si="14"/>
        <v>19.897959183673468</v>
      </c>
      <c r="N173">
        <f t="shared" si="15"/>
        <v>7.6530612244897975</v>
      </c>
    </row>
    <row r="174" spans="3:14" x14ac:dyDescent="0.2">
      <c r="C174" s="5">
        <v>0</v>
      </c>
      <c r="D174" s="5">
        <v>58.163265306122447</v>
      </c>
      <c r="E174" s="5">
        <v>15.306122448979592</v>
      </c>
      <c r="F174" s="5">
        <v>21.938775510204081</v>
      </c>
      <c r="G174" s="5">
        <v>4.591836734693878</v>
      </c>
      <c r="H174" s="18">
        <f t="shared" si="11"/>
        <v>100</v>
      </c>
      <c r="K174">
        <f t="shared" si="12"/>
        <v>58.163265306122447</v>
      </c>
      <c r="L174">
        <f t="shared" si="13"/>
        <v>15.306122448979592</v>
      </c>
      <c r="M174">
        <f t="shared" si="14"/>
        <v>21.938775510204081</v>
      </c>
      <c r="N174">
        <f t="shared" si="15"/>
        <v>4.591836734693878</v>
      </c>
    </row>
    <row r="175" spans="3:14" x14ac:dyDescent="0.2">
      <c r="C175" s="5">
        <v>0</v>
      </c>
      <c r="D175" s="5">
        <v>59</v>
      </c>
      <c r="E175" s="5">
        <v>16.5</v>
      </c>
      <c r="F175" s="5">
        <v>22</v>
      </c>
      <c r="G175" s="5">
        <v>2.5</v>
      </c>
      <c r="H175" s="18">
        <f t="shared" si="11"/>
        <v>100</v>
      </c>
      <c r="K175">
        <f t="shared" si="12"/>
        <v>59</v>
      </c>
      <c r="L175">
        <f t="shared" si="13"/>
        <v>16.5</v>
      </c>
      <c r="M175">
        <f t="shared" si="14"/>
        <v>22</v>
      </c>
      <c r="N175">
        <f t="shared" si="15"/>
        <v>2.5</v>
      </c>
    </row>
    <row r="176" spans="3:14" x14ac:dyDescent="0.2">
      <c r="C176" s="5">
        <v>0</v>
      </c>
      <c r="D176" s="5">
        <v>30.107526881720432</v>
      </c>
      <c r="E176" s="5">
        <v>38.172043010752688</v>
      </c>
      <c r="F176" s="5">
        <v>14.516129032258066</v>
      </c>
      <c r="G176" s="5">
        <v>17.20430107526882</v>
      </c>
      <c r="H176" s="18">
        <f t="shared" si="11"/>
        <v>100</v>
      </c>
      <c r="K176">
        <f t="shared" si="12"/>
        <v>30.107526881720432</v>
      </c>
      <c r="L176">
        <f t="shared" si="13"/>
        <v>38.172043010752688</v>
      </c>
      <c r="M176">
        <f t="shared" si="14"/>
        <v>14.516129032258066</v>
      </c>
      <c r="N176">
        <f t="shared" si="15"/>
        <v>17.20430107526882</v>
      </c>
    </row>
    <row r="177" spans="3:14" x14ac:dyDescent="0.2">
      <c r="C177" s="5">
        <v>0</v>
      </c>
      <c r="D177" s="5">
        <v>49.489795918367349</v>
      </c>
      <c r="E177" s="5">
        <v>22.95918367346939</v>
      </c>
      <c r="F177" s="5">
        <v>15.816326530612246</v>
      </c>
      <c r="G177" s="5">
        <v>11.73469387755102</v>
      </c>
      <c r="H177" s="18">
        <f t="shared" si="11"/>
        <v>100.00000000000001</v>
      </c>
      <c r="K177">
        <f t="shared" si="12"/>
        <v>49.489795918367342</v>
      </c>
      <c r="L177">
        <f t="shared" si="13"/>
        <v>22.959183673469386</v>
      </c>
      <c r="M177">
        <f t="shared" si="14"/>
        <v>15.816326530612242</v>
      </c>
      <c r="N177">
        <f t="shared" si="15"/>
        <v>11.734693877551019</v>
      </c>
    </row>
    <row r="178" spans="3:14" x14ac:dyDescent="0.2">
      <c r="C178" s="5">
        <v>0</v>
      </c>
      <c r="D178" s="5">
        <v>56.281407035175882</v>
      </c>
      <c r="E178" s="5">
        <v>17.587939698492463</v>
      </c>
      <c r="F178" s="5">
        <v>21.105527638190953</v>
      </c>
      <c r="G178" s="5">
        <v>5.025125628140704</v>
      </c>
      <c r="H178" s="18">
        <f t="shared" si="11"/>
        <v>100</v>
      </c>
      <c r="K178">
        <f t="shared" si="12"/>
        <v>56.281407035175882</v>
      </c>
      <c r="L178">
        <f t="shared" si="13"/>
        <v>17.587939698492463</v>
      </c>
      <c r="M178">
        <f t="shared" si="14"/>
        <v>21.105527638190953</v>
      </c>
      <c r="N178">
        <f t="shared" si="15"/>
        <v>5.025125628140704</v>
      </c>
    </row>
    <row r="179" spans="3:14" x14ac:dyDescent="0.2">
      <c r="C179" s="5">
        <v>0</v>
      </c>
      <c r="D179" s="5">
        <v>54.314720812182735</v>
      </c>
      <c r="E179" s="5">
        <v>17.258883248730964</v>
      </c>
      <c r="F179" s="5">
        <v>24.36548223350254</v>
      </c>
      <c r="G179" s="5">
        <v>4.0609137055837561</v>
      </c>
      <c r="H179" s="18">
        <f t="shared" si="11"/>
        <v>99.999999999999986</v>
      </c>
      <c r="K179">
        <f t="shared" si="12"/>
        <v>54.314720812182735</v>
      </c>
      <c r="L179">
        <f t="shared" si="13"/>
        <v>17.258883248730967</v>
      </c>
      <c r="M179">
        <f t="shared" si="14"/>
        <v>24.365482233502544</v>
      </c>
      <c r="N179">
        <f t="shared" si="15"/>
        <v>4.060913705583757</v>
      </c>
    </row>
    <row r="180" spans="3:14" x14ac:dyDescent="0.2">
      <c r="C180" s="5">
        <v>0</v>
      </c>
      <c r="D180" s="5">
        <v>53.266331658291456</v>
      </c>
      <c r="E180" s="5">
        <v>16.08040201005025</v>
      </c>
      <c r="F180" s="5">
        <v>25.125628140703515</v>
      </c>
      <c r="G180" s="5">
        <v>5.5276381909547743</v>
      </c>
      <c r="H180" s="18">
        <f t="shared" si="11"/>
        <v>99.999999999999986</v>
      </c>
      <c r="K180">
        <f t="shared" si="12"/>
        <v>53.266331658291463</v>
      </c>
      <c r="L180">
        <f t="shared" si="13"/>
        <v>16.08040201005025</v>
      </c>
      <c r="M180">
        <f t="shared" si="14"/>
        <v>25.125628140703522</v>
      </c>
      <c r="N180">
        <f t="shared" si="15"/>
        <v>5.5276381909547752</v>
      </c>
    </row>
    <row r="181" spans="3:14" x14ac:dyDescent="0.2">
      <c r="C181" s="5">
        <v>0</v>
      </c>
      <c r="D181" s="5">
        <v>52.791878172588838</v>
      </c>
      <c r="E181" s="5">
        <v>15.228426395939088</v>
      </c>
      <c r="F181" s="5">
        <v>26.903553299492383</v>
      </c>
      <c r="G181" s="5">
        <v>5.0761421319796955</v>
      </c>
      <c r="H181" s="18">
        <f t="shared" si="11"/>
        <v>100.00000000000001</v>
      </c>
      <c r="K181">
        <f t="shared" si="12"/>
        <v>52.791878172588838</v>
      </c>
      <c r="L181">
        <f t="shared" si="13"/>
        <v>15.228426395939088</v>
      </c>
      <c r="M181">
        <f t="shared" si="14"/>
        <v>26.903553299492376</v>
      </c>
      <c r="N181">
        <f t="shared" si="15"/>
        <v>5.0761421319796947</v>
      </c>
    </row>
    <row r="182" spans="3:14" x14ac:dyDescent="0.2">
      <c r="C182" s="5">
        <v>0</v>
      </c>
      <c r="D182" s="5">
        <v>34.806629834254146</v>
      </c>
      <c r="E182" s="5">
        <v>24.30939226519337</v>
      </c>
      <c r="F182" s="5">
        <v>25.966850828729282</v>
      </c>
      <c r="G182" s="5">
        <v>14.917127071823206</v>
      </c>
      <c r="H182" s="18">
        <f t="shared" si="11"/>
        <v>100</v>
      </c>
      <c r="K182">
        <f t="shared" si="12"/>
        <v>34.806629834254146</v>
      </c>
      <c r="L182">
        <f t="shared" si="13"/>
        <v>24.30939226519337</v>
      </c>
      <c r="M182">
        <f t="shared" si="14"/>
        <v>25.966850828729282</v>
      </c>
      <c r="N182">
        <f t="shared" si="15"/>
        <v>14.917127071823206</v>
      </c>
    </row>
    <row r="183" spans="3:14" x14ac:dyDescent="0.2">
      <c r="C183" s="5">
        <v>0</v>
      </c>
      <c r="D183" s="5">
        <v>51.515151515151516</v>
      </c>
      <c r="E183" s="5">
        <v>19.19191919191919</v>
      </c>
      <c r="F183" s="5">
        <v>21.71717171717172</v>
      </c>
      <c r="G183" s="5">
        <v>7.5757575757575761</v>
      </c>
      <c r="H183" s="18">
        <f t="shared" si="11"/>
        <v>100</v>
      </c>
      <c r="K183">
        <f t="shared" si="12"/>
        <v>51.515151515151516</v>
      </c>
      <c r="L183">
        <f t="shared" si="13"/>
        <v>19.19191919191919</v>
      </c>
      <c r="M183">
        <f t="shared" si="14"/>
        <v>21.71717171717172</v>
      </c>
      <c r="N183">
        <f t="shared" si="15"/>
        <v>7.5757575757575761</v>
      </c>
    </row>
    <row r="184" spans="3:14" x14ac:dyDescent="0.2">
      <c r="C184" s="5">
        <v>55.500000000000007</v>
      </c>
      <c r="D184" s="5">
        <v>8.4</v>
      </c>
      <c r="E184" s="5">
        <v>17.100000000000001</v>
      </c>
      <c r="F184" s="5">
        <v>13.8</v>
      </c>
      <c r="G184" s="5">
        <v>5.2</v>
      </c>
      <c r="H184" s="18">
        <f t="shared" si="11"/>
        <v>100</v>
      </c>
      <c r="K184">
        <f t="shared" si="12"/>
        <v>18.876404494382022</v>
      </c>
      <c r="L184">
        <f t="shared" si="13"/>
        <v>38.426966292134836</v>
      </c>
      <c r="M184">
        <f t="shared" si="14"/>
        <v>31.011235955056183</v>
      </c>
      <c r="N184">
        <f t="shared" si="15"/>
        <v>11.685393258426966</v>
      </c>
    </row>
    <row r="185" spans="3:14" x14ac:dyDescent="0.2">
      <c r="C185" s="5">
        <v>58.20000000000001</v>
      </c>
      <c r="D185" s="5">
        <v>6.7</v>
      </c>
      <c r="E185" s="5">
        <v>15.6</v>
      </c>
      <c r="F185" s="5">
        <v>14.899999999999999</v>
      </c>
      <c r="G185" s="5">
        <v>4.5999999999999996</v>
      </c>
      <c r="H185" s="18">
        <f t="shared" si="11"/>
        <v>100</v>
      </c>
      <c r="K185">
        <f t="shared" si="12"/>
        <v>16.028708133971289</v>
      </c>
      <c r="L185">
        <f t="shared" si="13"/>
        <v>37.320574162679421</v>
      </c>
      <c r="M185">
        <f t="shared" si="14"/>
        <v>35.645933014354057</v>
      </c>
      <c r="N185">
        <f t="shared" si="15"/>
        <v>11.004784688995214</v>
      </c>
    </row>
    <row r="186" spans="3:14" x14ac:dyDescent="0.2">
      <c r="C186" s="5">
        <v>63.800000000000004</v>
      </c>
      <c r="D186" s="5">
        <v>4.2</v>
      </c>
      <c r="E186" s="5">
        <v>12.2</v>
      </c>
      <c r="F186" s="5">
        <v>15.8</v>
      </c>
      <c r="G186" s="5">
        <v>4</v>
      </c>
      <c r="H186" s="18">
        <f t="shared" si="11"/>
        <v>100</v>
      </c>
      <c r="K186">
        <f t="shared" si="12"/>
        <v>11.602209944751381</v>
      </c>
      <c r="L186">
        <f t="shared" si="13"/>
        <v>33.701657458563531</v>
      </c>
      <c r="M186">
        <f t="shared" si="14"/>
        <v>43.646408839779006</v>
      </c>
      <c r="N186">
        <f t="shared" si="15"/>
        <v>11.049723756906078</v>
      </c>
    </row>
    <row r="187" spans="3:14" x14ac:dyDescent="0.2">
      <c r="C187" s="5">
        <v>66.5</v>
      </c>
      <c r="D187" s="5">
        <v>3.2</v>
      </c>
      <c r="E187" s="5">
        <v>10.7</v>
      </c>
      <c r="F187" s="5">
        <v>16.3</v>
      </c>
      <c r="G187" s="5">
        <v>3.3000000000000003</v>
      </c>
      <c r="H187" s="18">
        <f t="shared" si="11"/>
        <v>100</v>
      </c>
      <c r="K187">
        <f t="shared" si="12"/>
        <v>9.5522388059701502</v>
      </c>
      <c r="L187">
        <f t="shared" si="13"/>
        <v>31.940298507462682</v>
      </c>
      <c r="M187">
        <f t="shared" si="14"/>
        <v>48.656716417910452</v>
      </c>
      <c r="N187">
        <f t="shared" si="15"/>
        <v>9.8507462686567173</v>
      </c>
    </row>
    <row r="188" spans="3:14" x14ac:dyDescent="0.2">
      <c r="C188" s="5">
        <v>54.800000000000004</v>
      </c>
      <c r="D188" s="5">
        <v>5.5999999999999988</v>
      </c>
      <c r="E188" s="5">
        <v>19.099999999999998</v>
      </c>
      <c r="F188" s="5">
        <v>13.799999999999999</v>
      </c>
      <c r="G188" s="5">
        <v>6.6999999999999993</v>
      </c>
      <c r="H188" s="18">
        <f t="shared" si="11"/>
        <v>100</v>
      </c>
      <c r="K188">
        <f t="shared" si="12"/>
        <v>12.389380530973451</v>
      </c>
      <c r="L188">
        <f t="shared" si="13"/>
        <v>42.256637168141594</v>
      </c>
      <c r="M188">
        <f t="shared" si="14"/>
        <v>30.530973451327437</v>
      </c>
      <c r="N188">
        <f t="shared" si="15"/>
        <v>14.823008849557523</v>
      </c>
    </row>
    <row r="189" spans="3:14" x14ac:dyDescent="0.2">
      <c r="C189" s="5">
        <v>57.199999999999996</v>
      </c>
      <c r="D189" s="5">
        <v>4.4000000000000012</v>
      </c>
      <c r="E189" s="5">
        <v>17.400000000000002</v>
      </c>
      <c r="F189" s="5">
        <v>15.200000000000003</v>
      </c>
      <c r="G189" s="5">
        <v>5.8000000000000007</v>
      </c>
      <c r="H189" s="18">
        <f t="shared" si="11"/>
        <v>100</v>
      </c>
      <c r="K189">
        <f t="shared" si="12"/>
        <v>10.2803738317757</v>
      </c>
      <c r="L189">
        <f t="shared" si="13"/>
        <v>40.654205607476626</v>
      </c>
      <c r="M189">
        <f t="shared" si="14"/>
        <v>35.514018691588781</v>
      </c>
      <c r="N189">
        <f t="shared" si="15"/>
        <v>13.551401869158877</v>
      </c>
    </row>
    <row r="190" spans="3:14" x14ac:dyDescent="0.2">
      <c r="C190" s="5">
        <v>61.400000000000013</v>
      </c>
      <c r="D190" s="5">
        <v>3.6000000000000005</v>
      </c>
      <c r="E190" s="5">
        <v>14.499999999999998</v>
      </c>
      <c r="F190" s="5">
        <v>16</v>
      </c>
      <c r="G190" s="5">
        <v>4.5</v>
      </c>
      <c r="H190" s="18">
        <f t="shared" si="11"/>
        <v>100.00000000000001</v>
      </c>
      <c r="K190">
        <f t="shared" si="12"/>
        <v>9.3264248704663242</v>
      </c>
      <c r="L190">
        <f t="shared" si="13"/>
        <v>37.564766839378237</v>
      </c>
      <c r="M190">
        <f t="shared" si="14"/>
        <v>41.450777202072544</v>
      </c>
      <c r="N190">
        <f t="shared" si="15"/>
        <v>11.658031088082902</v>
      </c>
    </row>
    <row r="191" spans="3:14" x14ac:dyDescent="0.2">
      <c r="C191" s="5">
        <v>64.600000000000009</v>
      </c>
      <c r="D191" s="5">
        <v>3.1</v>
      </c>
      <c r="E191" s="5">
        <v>12.4</v>
      </c>
      <c r="F191" s="5">
        <v>16.3</v>
      </c>
      <c r="G191" s="5">
        <v>3.6000000000000005</v>
      </c>
      <c r="H191" s="18">
        <f t="shared" si="11"/>
        <v>100</v>
      </c>
      <c r="K191">
        <f t="shared" si="12"/>
        <v>8.7570621468926557</v>
      </c>
      <c r="L191">
        <f t="shared" si="13"/>
        <v>35.028248587570623</v>
      </c>
      <c r="M191">
        <f t="shared" si="14"/>
        <v>46.045197740112997</v>
      </c>
      <c r="N191">
        <f t="shared" si="15"/>
        <v>10.16949152542373</v>
      </c>
    </row>
    <row r="192" spans="3:14" x14ac:dyDescent="0.2">
      <c r="C192" s="5">
        <v>23.299999999999997</v>
      </c>
      <c r="D192" s="5">
        <v>32</v>
      </c>
      <c r="E192" s="5">
        <v>23.2</v>
      </c>
      <c r="F192" s="5">
        <v>13.100000000000001</v>
      </c>
      <c r="G192" s="5">
        <v>8.4</v>
      </c>
      <c r="H192" s="18">
        <f t="shared" si="11"/>
        <v>100</v>
      </c>
      <c r="K192">
        <f t="shared" si="12"/>
        <v>41.720990873533239</v>
      </c>
      <c r="L192">
        <f t="shared" si="13"/>
        <v>30.247718383311593</v>
      </c>
      <c r="M192">
        <f t="shared" si="14"/>
        <v>17.07953063885267</v>
      </c>
      <c r="N192">
        <f t="shared" si="15"/>
        <v>10.951760104302476</v>
      </c>
    </row>
    <row r="193" spans="3:14" x14ac:dyDescent="0.2">
      <c r="C193" s="5">
        <v>8.9999999999999982</v>
      </c>
      <c r="D193" s="5">
        <v>42.400000000000006</v>
      </c>
      <c r="E193" s="5">
        <v>21.800000000000004</v>
      </c>
      <c r="F193" s="5">
        <v>19.000000000000004</v>
      </c>
      <c r="G193" s="5">
        <v>7.8000000000000016</v>
      </c>
      <c r="H193" s="18">
        <f t="shared" si="11"/>
        <v>100.00000000000001</v>
      </c>
      <c r="K193">
        <f t="shared" si="12"/>
        <v>46.593406593406591</v>
      </c>
      <c r="L193">
        <f t="shared" si="13"/>
        <v>23.956043956043956</v>
      </c>
      <c r="M193">
        <f t="shared" si="14"/>
        <v>20.87912087912088</v>
      </c>
      <c r="N193">
        <f t="shared" si="15"/>
        <v>8.5714285714285712</v>
      </c>
    </row>
    <row r="194" spans="3:14" x14ac:dyDescent="0.2">
      <c r="C194" s="5">
        <v>6.700000000000002</v>
      </c>
      <c r="D194" s="5">
        <v>48</v>
      </c>
      <c r="E194" s="5">
        <v>17.8</v>
      </c>
      <c r="F194" s="5">
        <v>21.8</v>
      </c>
      <c r="G194" s="5">
        <v>5.7</v>
      </c>
      <c r="H194" s="18">
        <f t="shared" si="11"/>
        <v>100</v>
      </c>
      <c r="K194">
        <f t="shared" si="12"/>
        <v>51.446945337620576</v>
      </c>
      <c r="L194">
        <f t="shared" si="13"/>
        <v>19.078242229367632</v>
      </c>
      <c r="M194">
        <f t="shared" si="14"/>
        <v>23.365487674169348</v>
      </c>
      <c r="N194">
        <f t="shared" si="15"/>
        <v>6.1093247588424449</v>
      </c>
    </row>
    <row r="195" spans="3:14" x14ac:dyDescent="0.2">
      <c r="C195" s="5">
        <v>3.2</v>
      </c>
      <c r="D195" s="5">
        <v>52</v>
      </c>
      <c r="E195" s="5">
        <v>17</v>
      </c>
      <c r="F195" s="5">
        <v>22</v>
      </c>
      <c r="G195" s="5">
        <v>5.8</v>
      </c>
      <c r="H195" s="18">
        <f t="shared" ref="H195:H258" si="16">SUM(C195:G195)</f>
        <v>100</v>
      </c>
      <c r="K195">
        <f t="shared" ref="K195:K258" si="17">(D195/SUM($D195:$G195))*100</f>
        <v>53.719008264462808</v>
      </c>
      <c r="L195">
        <f t="shared" ref="L195:L258" si="18">(E195/SUM($D195:$G195))*100</f>
        <v>17.561983471074381</v>
      </c>
      <c r="M195">
        <f t="shared" ref="M195:M258" si="19">(F195/SUM($D195:$G195))*100</f>
        <v>22.72727272727273</v>
      </c>
      <c r="N195">
        <f t="shared" ref="N195:N258" si="20">(G195/SUM($D195:$G195))*100</f>
        <v>5.9917355371900829</v>
      </c>
    </row>
    <row r="196" spans="3:14" x14ac:dyDescent="0.2">
      <c r="C196" s="5">
        <v>30.599999999999998</v>
      </c>
      <c r="D196" s="5">
        <v>19.5</v>
      </c>
      <c r="E196" s="5">
        <v>28.800000000000004</v>
      </c>
      <c r="F196" s="5">
        <v>9.5</v>
      </c>
      <c r="G196" s="5">
        <v>11.6</v>
      </c>
      <c r="H196" s="18">
        <f t="shared" si="16"/>
        <v>100</v>
      </c>
      <c r="K196">
        <f t="shared" si="17"/>
        <v>28.097982708933717</v>
      </c>
      <c r="L196">
        <f t="shared" si="18"/>
        <v>41.498559077809801</v>
      </c>
      <c r="M196">
        <f t="shared" si="19"/>
        <v>13.688760806916425</v>
      </c>
      <c r="N196">
        <f t="shared" si="20"/>
        <v>16.714697406340058</v>
      </c>
    </row>
    <row r="197" spans="3:14" x14ac:dyDescent="0.2">
      <c r="C197" s="5">
        <v>10.6</v>
      </c>
      <c r="D197" s="5">
        <v>35.500000000000007</v>
      </c>
      <c r="E197" s="5">
        <v>27.100000000000009</v>
      </c>
      <c r="F197" s="5">
        <v>15.800000000000002</v>
      </c>
      <c r="G197" s="5">
        <v>11.000000000000002</v>
      </c>
      <c r="H197" s="18">
        <f t="shared" si="16"/>
        <v>100.00000000000001</v>
      </c>
      <c r="K197">
        <f t="shared" si="17"/>
        <v>39.709172259507831</v>
      </c>
      <c r="L197">
        <f t="shared" si="18"/>
        <v>30.313199105145415</v>
      </c>
      <c r="M197">
        <f t="shared" si="19"/>
        <v>17.673378076062637</v>
      </c>
      <c r="N197">
        <f t="shared" si="20"/>
        <v>12.304250559284116</v>
      </c>
    </row>
    <row r="198" spans="3:14" x14ac:dyDescent="0.2">
      <c r="C198" s="5">
        <v>5.2999999999999989</v>
      </c>
      <c r="D198" s="5">
        <v>54</v>
      </c>
      <c r="E198" s="5">
        <v>13.5</v>
      </c>
      <c r="F198" s="5">
        <v>21.6</v>
      </c>
      <c r="G198" s="5">
        <v>5.6</v>
      </c>
      <c r="H198" s="18">
        <f t="shared" si="16"/>
        <v>100</v>
      </c>
      <c r="K198">
        <f t="shared" si="17"/>
        <v>57.02217529039072</v>
      </c>
      <c r="L198">
        <f t="shared" si="18"/>
        <v>14.25554382259768</v>
      </c>
      <c r="M198">
        <f t="shared" si="19"/>
        <v>22.808870116156289</v>
      </c>
      <c r="N198">
        <f t="shared" si="20"/>
        <v>5.9134107708553332</v>
      </c>
    </row>
    <row r="199" spans="3:14" x14ac:dyDescent="0.2">
      <c r="C199" s="10">
        <v>46.276466293502068</v>
      </c>
      <c r="D199" s="10">
        <v>11.52348503285471</v>
      </c>
      <c r="E199" s="10">
        <v>19.578972986128012</v>
      </c>
      <c r="F199" s="10">
        <v>15.928449744463371</v>
      </c>
      <c r="G199" s="10">
        <v>6.6926259430518371</v>
      </c>
      <c r="H199" s="18">
        <f t="shared" si="16"/>
        <v>100</v>
      </c>
      <c r="K199">
        <f t="shared" si="17"/>
        <v>21.449603624009061</v>
      </c>
      <c r="L199">
        <f t="shared" si="18"/>
        <v>36.443941109852773</v>
      </c>
      <c r="M199">
        <f t="shared" si="19"/>
        <v>29.648924122310305</v>
      </c>
      <c r="N199">
        <f t="shared" si="20"/>
        <v>12.457531143827859</v>
      </c>
    </row>
    <row r="200" spans="3:14" x14ac:dyDescent="0.2">
      <c r="C200" s="10">
        <v>20.481436148510813</v>
      </c>
      <c r="D200" s="10">
        <v>20.291037671698628</v>
      </c>
      <c r="E200" s="10">
        <v>26.152590779273766</v>
      </c>
      <c r="F200" s="10">
        <v>24.520603835169322</v>
      </c>
      <c r="G200" s="10">
        <v>8.5543315653474785</v>
      </c>
      <c r="H200" s="18">
        <f t="shared" si="16"/>
        <v>100.00000000000001</v>
      </c>
      <c r="K200">
        <f t="shared" si="17"/>
        <v>25.517359329570716</v>
      </c>
      <c r="L200">
        <f t="shared" si="18"/>
        <v>32.888660851718818</v>
      </c>
      <c r="M200">
        <f t="shared" si="19"/>
        <v>30.836326321190349</v>
      </c>
      <c r="N200">
        <f t="shared" si="20"/>
        <v>10.757653497520096</v>
      </c>
    </row>
    <row r="201" spans="3:14" x14ac:dyDescent="0.2">
      <c r="C201" s="10">
        <v>8.2332761578044611</v>
      </c>
      <c r="D201" s="10">
        <v>22.998856489422529</v>
      </c>
      <c r="E201" s="10">
        <v>30.731846769582621</v>
      </c>
      <c r="F201" s="10">
        <v>27.887364208118932</v>
      </c>
      <c r="G201" s="10">
        <v>10.14865637507147</v>
      </c>
      <c r="H201" s="18">
        <f t="shared" si="16"/>
        <v>100.00000000000001</v>
      </c>
      <c r="K201">
        <f t="shared" si="17"/>
        <v>25.062305295950154</v>
      </c>
      <c r="L201">
        <f t="shared" si="18"/>
        <v>33.489096573208712</v>
      </c>
      <c r="M201">
        <f t="shared" si="19"/>
        <v>30.389408099688474</v>
      </c>
      <c r="N201">
        <f t="shared" si="20"/>
        <v>11.059190031152646</v>
      </c>
    </row>
    <row r="202" spans="3:14" x14ac:dyDescent="0.2">
      <c r="C202" s="10">
        <v>45.324660239284476</v>
      </c>
      <c r="D202" s="10">
        <v>13.160645835753282</v>
      </c>
      <c r="E202" s="10">
        <v>19.64223487048438</v>
      </c>
      <c r="F202" s="10">
        <v>15.75095829945406</v>
      </c>
      <c r="G202" s="10">
        <v>6.1215007550238116</v>
      </c>
      <c r="H202" s="18">
        <f t="shared" si="16"/>
        <v>100</v>
      </c>
      <c r="K202">
        <f t="shared" si="17"/>
        <v>24.070533248353517</v>
      </c>
      <c r="L202">
        <f t="shared" si="18"/>
        <v>35.92521776078182</v>
      </c>
      <c r="M202">
        <f t="shared" si="19"/>
        <v>28.808158062460166</v>
      </c>
      <c r="N202">
        <f t="shared" si="20"/>
        <v>11.196090928404502</v>
      </c>
    </row>
    <row r="203" spans="3:14" x14ac:dyDescent="0.2">
      <c r="C203" s="10">
        <v>23.563674874238817</v>
      </c>
      <c r="D203" s="10">
        <v>19.909981466772571</v>
      </c>
      <c r="E203" s="10">
        <v>24.357956049774955</v>
      </c>
      <c r="F203" s="10">
        <v>23.722531109346047</v>
      </c>
      <c r="G203" s="10">
        <v>8.4458564998676184</v>
      </c>
      <c r="H203" s="18">
        <f t="shared" si="16"/>
        <v>100.00000000000001</v>
      </c>
      <c r="K203">
        <f t="shared" si="17"/>
        <v>26.047800484932456</v>
      </c>
      <c r="L203">
        <f t="shared" si="18"/>
        <v>31.86698995497056</v>
      </c>
      <c r="M203">
        <f t="shared" si="19"/>
        <v>31.035677173536552</v>
      </c>
      <c r="N203">
        <f t="shared" si="20"/>
        <v>11.049532386560442</v>
      </c>
    </row>
    <row r="204" spans="3:14" x14ac:dyDescent="0.2">
      <c r="C204" s="10">
        <v>7.6157000585823091</v>
      </c>
      <c r="D204" s="10">
        <v>24.384885764499117</v>
      </c>
      <c r="E204" s="10">
        <v>29.188635032220269</v>
      </c>
      <c r="F204" s="10">
        <v>28.822495606326886</v>
      </c>
      <c r="G204" s="10">
        <v>9.9882835383714124</v>
      </c>
      <c r="H204" s="18">
        <f t="shared" si="16"/>
        <v>100</v>
      </c>
      <c r="K204">
        <f t="shared" si="17"/>
        <v>26.39505389980976</v>
      </c>
      <c r="L204">
        <f t="shared" si="18"/>
        <v>31.594800253646167</v>
      </c>
      <c r="M204">
        <f t="shared" si="19"/>
        <v>31.19847812301839</v>
      </c>
      <c r="N204">
        <f t="shared" si="20"/>
        <v>10.811667723525684</v>
      </c>
    </row>
    <row r="205" spans="3:14" x14ac:dyDescent="0.2">
      <c r="C205" s="10">
        <v>57.025359835503764</v>
      </c>
      <c r="D205" s="10">
        <v>6.0726525017135016</v>
      </c>
      <c r="E205" s="10">
        <v>17.025359835503767</v>
      </c>
      <c r="F205" s="10">
        <v>14.95544893762851</v>
      </c>
      <c r="G205" s="10">
        <v>4.9211788896504451</v>
      </c>
      <c r="H205" s="18">
        <f t="shared" si="16"/>
        <v>99.999999999999986</v>
      </c>
      <c r="K205">
        <f t="shared" si="17"/>
        <v>14.130781499202552</v>
      </c>
      <c r="L205">
        <f t="shared" si="18"/>
        <v>39.617224880382778</v>
      </c>
      <c r="M205">
        <f t="shared" si="19"/>
        <v>34.800637958532697</v>
      </c>
      <c r="N205">
        <f t="shared" si="20"/>
        <v>11.45135566188198</v>
      </c>
    </row>
    <row r="206" spans="3:14" x14ac:dyDescent="0.2">
      <c r="C206" s="10">
        <v>30.585424133811234</v>
      </c>
      <c r="D206" s="10">
        <v>10.872162485065713</v>
      </c>
      <c r="E206" s="10">
        <v>26.065312624452414</v>
      </c>
      <c r="F206" s="10">
        <v>24.233373158104342</v>
      </c>
      <c r="G206" s="10">
        <v>8.2437275985663092</v>
      </c>
      <c r="H206" s="18">
        <f t="shared" si="16"/>
        <v>100.00000000000001</v>
      </c>
      <c r="K206">
        <f t="shared" si="17"/>
        <v>15.66265060240964</v>
      </c>
      <c r="L206">
        <f t="shared" si="18"/>
        <v>37.550200803212853</v>
      </c>
      <c r="M206">
        <f t="shared" si="19"/>
        <v>34.91107286288009</v>
      </c>
      <c r="N206">
        <f t="shared" si="20"/>
        <v>11.876075731497417</v>
      </c>
    </row>
    <row r="207" spans="3:14" x14ac:dyDescent="0.2">
      <c r="C207" s="10">
        <v>12.140266021765417</v>
      </c>
      <c r="D207" s="10">
        <v>14.171704957678358</v>
      </c>
      <c r="E207" s="10">
        <v>32.623941958887549</v>
      </c>
      <c r="F207" s="10">
        <v>30.810157194679565</v>
      </c>
      <c r="G207" s="10">
        <v>10.253929866989118</v>
      </c>
      <c r="H207" s="18">
        <f t="shared" si="16"/>
        <v>100</v>
      </c>
      <c r="K207">
        <f t="shared" si="17"/>
        <v>16.129920176162951</v>
      </c>
      <c r="L207">
        <f t="shared" si="18"/>
        <v>37.131846958436547</v>
      </c>
      <c r="M207">
        <f t="shared" si="19"/>
        <v>35.067437379576099</v>
      </c>
      <c r="N207">
        <f t="shared" si="20"/>
        <v>11.670795485824387</v>
      </c>
    </row>
    <row r="208" spans="3:14" x14ac:dyDescent="0.2">
      <c r="C208" s="5">
        <v>0</v>
      </c>
      <c r="D208" s="5">
        <v>30.107526881720432</v>
      </c>
      <c r="E208" s="5">
        <v>44.086021505376344</v>
      </c>
      <c r="F208" s="5">
        <v>13.440860215053762</v>
      </c>
      <c r="G208" s="5">
        <v>12.365591397849462</v>
      </c>
      <c r="H208" s="18">
        <f t="shared" si="16"/>
        <v>99.999999999999986</v>
      </c>
      <c r="K208">
        <f t="shared" si="17"/>
        <v>30.107526881720435</v>
      </c>
      <c r="L208">
        <f t="shared" si="18"/>
        <v>44.086021505376351</v>
      </c>
      <c r="M208">
        <f t="shared" si="19"/>
        <v>13.440860215053766</v>
      </c>
      <c r="N208">
        <f t="shared" si="20"/>
        <v>12.365591397849464</v>
      </c>
    </row>
    <row r="209" spans="3:14" x14ac:dyDescent="0.2">
      <c r="C209" s="5">
        <v>0</v>
      </c>
      <c r="D209" s="5">
        <v>34.920634920634917</v>
      </c>
      <c r="E209" s="5">
        <v>39.682539682539684</v>
      </c>
      <c r="F209" s="5">
        <v>14.814814814814813</v>
      </c>
      <c r="G209" s="5">
        <v>10.582010582010582</v>
      </c>
      <c r="H209" s="18">
        <f t="shared" si="16"/>
        <v>100</v>
      </c>
      <c r="K209">
        <f t="shared" si="17"/>
        <v>34.920634920634917</v>
      </c>
      <c r="L209">
        <f t="shared" si="18"/>
        <v>39.682539682539684</v>
      </c>
      <c r="M209">
        <f t="shared" si="19"/>
        <v>14.814814814814813</v>
      </c>
      <c r="N209">
        <f t="shared" si="20"/>
        <v>10.582010582010582</v>
      </c>
    </row>
    <row r="210" spans="3:14" x14ac:dyDescent="0.2">
      <c r="C210" s="5">
        <v>0</v>
      </c>
      <c r="D210" s="5">
        <v>39.790575916230367</v>
      </c>
      <c r="E210" s="5">
        <v>34.031413612565444</v>
      </c>
      <c r="F210" s="5">
        <v>17.277486910994764</v>
      </c>
      <c r="G210" s="5">
        <v>8.9005235602094235</v>
      </c>
      <c r="H210" s="18">
        <f t="shared" si="16"/>
        <v>100</v>
      </c>
      <c r="K210">
        <f t="shared" si="17"/>
        <v>39.790575916230367</v>
      </c>
      <c r="L210">
        <f t="shared" si="18"/>
        <v>34.031413612565444</v>
      </c>
      <c r="M210">
        <f t="shared" si="19"/>
        <v>17.277486910994764</v>
      </c>
      <c r="N210">
        <f t="shared" si="20"/>
        <v>8.9005235602094235</v>
      </c>
    </row>
    <row r="211" spans="3:14" x14ac:dyDescent="0.2">
      <c r="C211" s="5">
        <v>0</v>
      </c>
      <c r="D211" s="5">
        <v>29.842931937172771</v>
      </c>
      <c r="E211" s="5">
        <v>52.356020942408378</v>
      </c>
      <c r="F211" s="5">
        <v>7.3298429319371721</v>
      </c>
      <c r="G211" s="5">
        <v>10.471204188481675</v>
      </c>
      <c r="H211" s="18">
        <f t="shared" si="16"/>
        <v>100.00000000000001</v>
      </c>
      <c r="K211">
        <f t="shared" si="17"/>
        <v>29.842931937172768</v>
      </c>
      <c r="L211">
        <f t="shared" si="18"/>
        <v>52.356020942408364</v>
      </c>
      <c r="M211">
        <f t="shared" si="19"/>
        <v>7.3298429319371712</v>
      </c>
      <c r="N211">
        <f t="shared" si="20"/>
        <v>10.471204188481673</v>
      </c>
    </row>
    <row r="212" spans="3:14" x14ac:dyDescent="0.2">
      <c r="C212" s="5">
        <v>0</v>
      </c>
      <c r="D212" s="5">
        <v>42.487046632124354</v>
      </c>
      <c r="E212" s="5">
        <v>31.088082901554404</v>
      </c>
      <c r="F212" s="5">
        <v>18.652849740932641</v>
      </c>
      <c r="G212" s="5">
        <v>7.7720207253886011</v>
      </c>
      <c r="H212" s="18">
        <f t="shared" si="16"/>
        <v>100</v>
      </c>
      <c r="K212">
        <f t="shared" si="17"/>
        <v>42.487046632124354</v>
      </c>
      <c r="L212">
        <f t="shared" si="18"/>
        <v>31.088082901554404</v>
      </c>
      <c r="M212">
        <f t="shared" si="19"/>
        <v>18.652849740932641</v>
      </c>
      <c r="N212">
        <f t="shared" si="20"/>
        <v>7.7720207253886011</v>
      </c>
    </row>
    <row r="213" spans="3:14" x14ac:dyDescent="0.2">
      <c r="C213" s="5">
        <v>0</v>
      </c>
      <c r="D213" s="5">
        <v>33.157894736842103</v>
      </c>
      <c r="E213" s="5">
        <v>42.105263157894733</v>
      </c>
      <c r="F213" s="5">
        <v>14.210526315789473</v>
      </c>
      <c r="G213" s="5">
        <v>10.526315789473683</v>
      </c>
      <c r="H213" s="18">
        <f t="shared" si="16"/>
        <v>99.999999999999986</v>
      </c>
      <c r="K213">
        <f t="shared" si="17"/>
        <v>33.15789473684211</v>
      </c>
      <c r="L213">
        <f t="shared" si="18"/>
        <v>42.10526315789474</v>
      </c>
      <c r="M213">
        <f t="shared" si="19"/>
        <v>14.210526315789473</v>
      </c>
      <c r="N213">
        <f t="shared" si="20"/>
        <v>10.526315789473685</v>
      </c>
    </row>
    <row r="214" spans="3:14" x14ac:dyDescent="0.2">
      <c r="C214" s="5">
        <v>0</v>
      </c>
      <c r="D214" s="5">
        <v>30.158730158730158</v>
      </c>
      <c r="E214" s="5">
        <v>39.682539682539684</v>
      </c>
      <c r="F214" s="5">
        <v>17.989417989417987</v>
      </c>
      <c r="G214" s="5">
        <v>12.169312169312169</v>
      </c>
      <c r="H214" s="18">
        <f t="shared" si="16"/>
        <v>100</v>
      </c>
      <c r="K214">
        <f t="shared" si="17"/>
        <v>30.158730158730158</v>
      </c>
      <c r="L214">
        <f t="shared" si="18"/>
        <v>39.682539682539684</v>
      </c>
      <c r="M214">
        <f t="shared" si="19"/>
        <v>17.989417989417987</v>
      </c>
      <c r="N214">
        <f t="shared" si="20"/>
        <v>12.169312169312169</v>
      </c>
    </row>
    <row r="215" spans="3:14" x14ac:dyDescent="0.2">
      <c r="C215" s="5">
        <v>52.929394091136707</v>
      </c>
      <c r="D215" s="5">
        <v>14.021031547320984</v>
      </c>
      <c r="E215" s="5">
        <v>16.52478718077116</v>
      </c>
      <c r="F215" s="5">
        <v>13.019529293940913</v>
      </c>
      <c r="G215" s="5">
        <v>3.505257886830246</v>
      </c>
      <c r="H215" s="18">
        <f t="shared" si="16"/>
        <v>100.00000000000001</v>
      </c>
      <c r="K215">
        <f t="shared" si="17"/>
        <v>29.787234042553195</v>
      </c>
      <c r="L215">
        <f t="shared" si="18"/>
        <v>35.106382978723403</v>
      </c>
      <c r="M215">
        <f t="shared" si="19"/>
        <v>27.659574468085108</v>
      </c>
      <c r="N215">
        <f t="shared" si="20"/>
        <v>7.4468085106382986</v>
      </c>
    </row>
    <row r="216" spans="3:14" x14ac:dyDescent="0.2">
      <c r="C216" s="5">
        <v>42.465479287572542</v>
      </c>
      <c r="D216" s="5">
        <v>25.015009005403243</v>
      </c>
      <c r="E216" s="5">
        <v>14.008405043025816</v>
      </c>
      <c r="F216" s="5">
        <v>16.509905943566139</v>
      </c>
      <c r="G216" s="5">
        <v>2.0012007204322595</v>
      </c>
      <c r="H216" s="18">
        <f t="shared" si="16"/>
        <v>100.00000000000001</v>
      </c>
      <c r="K216">
        <f t="shared" si="17"/>
        <v>43.478260869565219</v>
      </c>
      <c r="L216">
        <f t="shared" si="18"/>
        <v>24.34782608695652</v>
      </c>
      <c r="M216">
        <f t="shared" si="19"/>
        <v>28.695652173913039</v>
      </c>
      <c r="N216">
        <f t="shared" si="20"/>
        <v>3.4782608695652173</v>
      </c>
    </row>
    <row r="217" spans="3:14" x14ac:dyDescent="0.2">
      <c r="C217" s="5">
        <v>47.979191676670666</v>
      </c>
      <c r="D217" s="5">
        <v>23.509403761504601</v>
      </c>
      <c r="E217" s="5">
        <v>11.504601840736294</v>
      </c>
      <c r="F217" s="5">
        <v>15.006002400960384</v>
      </c>
      <c r="G217" s="5">
        <v>2.0008003201280511</v>
      </c>
      <c r="H217" s="18">
        <f t="shared" si="16"/>
        <v>100</v>
      </c>
      <c r="K217">
        <f t="shared" si="17"/>
        <v>45.192307692307693</v>
      </c>
      <c r="L217">
        <f t="shared" si="18"/>
        <v>22.115384615384617</v>
      </c>
      <c r="M217">
        <f t="shared" si="19"/>
        <v>28.84615384615385</v>
      </c>
      <c r="N217">
        <f t="shared" si="20"/>
        <v>3.8461538461538463</v>
      </c>
    </row>
    <row r="218" spans="3:14" x14ac:dyDescent="0.2">
      <c r="C218" s="5">
        <v>50.5</v>
      </c>
      <c r="D218" s="5">
        <v>17.5</v>
      </c>
      <c r="E218" s="5">
        <v>12</v>
      </c>
      <c r="F218" s="5">
        <v>16</v>
      </c>
      <c r="G218" s="5">
        <v>4</v>
      </c>
      <c r="H218" s="18">
        <f t="shared" si="16"/>
        <v>100</v>
      </c>
      <c r="K218">
        <f t="shared" si="17"/>
        <v>35.353535353535356</v>
      </c>
      <c r="L218">
        <f t="shared" si="18"/>
        <v>24.242424242424242</v>
      </c>
      <c r="M218">
        <f t="shared" si="19"/>
        <v>32.323232323232325</v>
      </c>
      <c r="N218">
        <f t="shared" si="20"/>
        <v>8.0808080808080813</v>
      </c>
    </row>
    <row r="219" spans="3:14" x14ac:dyDescent="0.2">
      <c r="C219" s="5">
        <v>53.821171216888253</v>
      </c>
      <c r="D219" s="5">
        <v>11.164112453059982</v>
      </c>
      <c r="E219" s="5">
        <v>17.761087993504514</v>
      </c>
      <c r="F219" s="5">
        <v>12.686491423931798</v>
      </c>
      <c r="G219" s="5">
        <v>4.5671369126154469</v>
      </c>
      <c r="H219" s="18">
        <f t="shared" si="16"/>
        <v>100</v>
      </c>
      <c r="K219">
        <f t="shared" si="17"/>
        <v>24.175824175824175</v>
      </c>
      <c r="L219">
        <f t="shared" si="18"/>
        <v>38.46153846153846</v>
      </c>
      <c r="M219">
        <f t="shared" si="19"/>
        <v>27.472527472527474</v>
      </c>
      <c r="N219">
        <f t="shared" si="20"/>
        <v>9.8901098901098905</v>
      </c>
    </row>
    <row r="220" spans="3:14" x14ac:dyDescent="0.2">
      <c r="C220" s="5">
        <v>51.991105720638778</v>
      </c>
      <c r="D220" s="5">
        <v>17.182130584192439</v>
      </c>
      <c r="E220" s="5">
        <v>12.12856276531231</v>
      </c>
      <c r="F220" s="5">
        <v>15.160703456640389</v>
      </c>
      <c r="G220" s="5">
        <v>3.5374974732160904</v>
      </c>
      <c r="H220" s="18">
        <f t="shared" si="16"/>
        <v>100.00000000000001</v>
      </c>
      <c r="K220">
        <f t="shared" si="17"/>
        <v>35.789473684210527</v>
      </c>
      <c r="L220">
        <f t="shared" si="18"/>
        <v>25.263157894736842</v>
      </c>
      <c r="M220">
        <f t="shared" si="19"/>
        <v>31.578947368421055</v>
      </c>
      <c r="N220">
        <f t="shared" si="20"/>
        <v>7.3684210526315779</v>
      </c>
    </row>
    <row r="221" spans="3:14" x14ac:dyDescent="0.2">
      <c r="C221" s="5">
        <v>50.525040387722129</v>
      </c>
      <c r="D221" s="5">
        <v>17.669628432956383</v>
      </c>
      <c r="E221" s="5">
        <v>11.611470113085623</v>
      </c>
      <c r="F221" s="5">
        <v>16.15508885298869</v>
      </c>
      <c r="G221" s="5">
        <v>4.0387722132471726</v>
      </c>
      <c r="H221" s="18">
        <f t="shared" si="16"/>
        <v>100</v>
      </c>
      <c r="K221">
        <f t="shared" si="17"/>
        <v>35.714285714285715</v>
      </c>
      <c r="L221">
        <f t="shared" si="18"/>
        <v>23.469387755102041</v>
      </c>
      <c r="M221">
        <f t="shared" si="19"/>
        <v>32.653061224489797</v>
      </c>
      <c r="N221">
        <f t="shared" si="20"/>
        <v>8.1632653061224492</v>
      </c>
    </row>
    <row r="222" spans="3:14" x14ac:dyDescent="0.2">
      <c r="C222" s="5">
        <v>38.698396108855569</v>
      </c>
      <c r="D222" s="5">
        <v>16.079109217349359</v>
      </c>
      <c r="E222" s="5">
        <v>23.616191662981869</v>
      </c>
      <c r="F222" s="5">
        <v>14.571692728222855</v>
      </c>
      <c r="G222" s="5">
        <v>7.0346102825903438</v>
      </c>
      <c r="H222" s="18">
        <f t="shared" si="16"/>
        <v>100</v>
      </c>
      <c r="K222">
        <f t="shared" si="17"/>
        <v>26.229508196721312</v>
      </c>
      <c r="L222">
        <f t="shared" si="18"/>
        <v>38.524590163934427</v>
      </c>
      <c r="M222">
        <f t="shared" si="19"/>
        <v>23.770491803278688</v>
      </c>
      <c r="N222">
        <f t="shared" si="20"/>
        <v>11.475409836065573</v>
      </c>
    </row>
    <row r="223" spans="3:14" x14ac:dyDescent="0.2">
      <c r="C223" s="5">
        <v>42.447495961227787</v>
      </c>
      <c r="D223" s="5">
        <v>20.193861066235865</v>
      </c>
      <c r="E223" s="5">
        <v>15.650242326332798</v>
      </c>
      <c r="F223" s="5">
        <v>16.65993537964459</v>
      </c>
      <c r="G223" s="5">
        <v>5.0484652665589662</v>
      </c>
      <c r="H223" s="18">
        <f t="shared" si="16"/>
        <v>100.00000000000001</v>
      </c>
      <c r="K223">
        <f t="shared" si="17"/>
        <v>35.087719298245617</v>
      </c>
      <c r="L223">
        <f t="shared" si="18"/>
        <v>27.192982456140356</v>
      </c>
      <c r="M223">
        <f t="shared" si="19"/>
        <v>28.947368421052637</v>
      </c>
      <c r="N223">
        <f t="shared" si="20"/>
        <v>8.7719298245614041</v>
      </c>
    </row>
    <row r="224" spans="3:14" x14ac:dyDescent="0.2">
      <c r="C224" s="5">
        <v>36.536718041704439</v>
      </c>
      <c r="D224" s="5">
        <v>30.220610456331215</v>
      </c>
      <c r="E224" s="5">
        <v>13.599274705349046</v>
      </c>
      <c r="F224" s="5">
        <v>16.117658910043314</v>
      </c>
      <c r="G224" s="5">
        <v>3.5257378865719753</v>
      </c>
      <c r="H224" s="18">
        <f t="shared" si="16"/>
        <v>100</v>
      </c>
      <c r="K224">
        <f t="shared" si="17"/>
        <v>47.619047619047613</v>
      </c>
      <c r="L224">
        <f t="shared" si="18"/>
        <v>21.428571428571427</v>
      </c>
      <c r="M224">
        <f t="shared" si="19"/>
        <v>25.396825396825395</v>
      </c>
      <c r="N224">
        <f t="shared" si="20"/>
        <v>5.5555555555555562</v>
      </c>
    </row>
    <row r="225" spans="3:14" x14ac:dyDescent="0.2">
      <c r="C225" s="5">
        <v>46.398156497344957</v>
      </c>
      <c r="D225" s="5">
        <v>22.041879571185252</v>
      </c>
      <c r="E225" s="5">
        <v>10.019036168720568</v>
      </c>
      <c r="F225" s="5">
        <v>19.537120529005108</v>
      </c>
      <c r="G225" s="5">
        <v>2.003807233744114</v>
      </c>
      <c r="H225" s="18">
        <f t="shared" si="16"/>
        <v>100</v>
      </c>
      <c r="K225">
        <f t="shared" si="17"/>
        <v>41.121495327102799</v>
      </c>
      <c r="L225">
        <f t="shared" si="18"/>
        <v>18.691588785046729</v>
      </c>
      <c r="M225">
        <f t="shared" si="19"/>
        <v>36.44859813084112</v>
      </c>
      <c r="N225">
        <f t="shared" si="20"/>
        <v>3.7383177570093462</v>
      </c>
    </row>
    <row r="226" spans="3:14" x14ac:dyDescent="0.2">
      <c r="C226" s="5">
        <v>32.542097788598092</v>
      </c>
      <c r="D226" s="5">
        <v>32.460945425035504</v>
      </c>
      <c r="E226" s="5">
        <v>14.201663623453035</v>
      </c>
      <c r="F226" s="5">
        <v>16.737674984783933</v>
      </c>
      <c r="G226" s="5">
        <v>4.057618178129438</v>
      </c>
      <c r="H226" s="18">
        <f t="shared" si="16"/>
        <v>100</v>
      </c>
      <c r="K226">
        <f t="shared" si="17"/>
        <v>48.120300751879689</v>
      </c>
      <c r="L226">
        <f t="shared" si="18"/>
        <v>21.052631578947366</v>
      </c>
      <c r="M226">
        <f t="shared" si="19"/>
        <v>24.81203007518797</v>
      </c>
      <c r="N226">
        <f t="shared" si="20"/>
        <v>6.0150375939849612</v>
      </c>
    </row>
    <row r="227" spans="3:14" x14ac:dyDescent="0.2">
      <c r="C227" s="5">
        <v>44.5</v>
      </c>
      <c r="D227" s="5">
        <v>17</v>
      </c>
      <c r="E227" s="5">
        <v>16</v>
      </c>
      <c r="F227" s="5">
        <v>10.5</v>
      </c>
      <c r="G227" s="5">
        <v>12</v>
      </c>
      <c r="H227" s="18">
        <f t="shared" si="16"/>
        <v>100</v>
      </c>
      <c r="K227">
        <f t="shared" si="17"/>
        <v>30.630630630630627</v>
      </c>
      <c r="L227">
        <f t="shared" si="18"/>
        <v>28.828828828828829</v>
      </c>
      <c r="M227">
        <f t="shared" si="19"/>
        <v>18.918918918918919</v>
      </c>
      <c r="N227">
        <f t="shared" si="20"/>
        <v>21.621621621621621</v>
      </c>
    </row>
    <row r="228" spans="3:14" x14ac:dyDescent="0.2">
      <c r="C228" s="5">
        <v>48.5</v>
      </c>
      <c r="D228" s="5">
        <v>16</v>
      </c>
      <c r="E228" s="5">
        <v>15</v>
      </c>
      <c r="F228" s="5">
        <v>11.5</v>
      </c>
      <c r="G228" s="5">
        <v>9</v>
      </c>
      <c r="H228" s="18">
        <f t="shared" si="16"/>
        <v>100</v>
      </c>
      <c r="K228">
        <f t="shared" si="17"/>
        <v>31.067961165048541</v>
      </c>
      <c r="L228">
        <f t="shared" si="18"/>
        <v>29.126213592233007</v>
      </c>
      <c r="M228">
        <f t="shared" si="19"/>
        <v>22.330097087378643</v>
      </c>
      <c r="N228">
        <f t="shared" si="20"/>
        <v>17.475728155339805</v>
      </c>
    </row>
    <row r="229" spans="3:14" x14ac:dyDescent="0.2">
      <c r="C229" s="5">
        <v>43.531309871937083</v>
      </c>
      <c r="D229" s="5">
        <v>17.646465665019662</v>
      </c>
      <c r="E229" s="5">
        <v>19.159019864878491</v>
      </c>
      <c r="F229" s="5">
        <v>13.108803065443178</v>
      </c>
      <c r="G229" s="5">
        <v>6.554401532721589</v>
      </c>
      <c r="H229" s="18">
        <f t="shared" si="16"/>
        <v>100</v>
      </c>
      <c r="K229">
        <f t="shared" si="17"/>
        <v>31.25</v>
      </c>
      <c r="L229">
        <f t="shared" si="18"/>
        <v>33.928571428571431</v>
      </c>
      <c r="M229">
        <f t="shared" si="19"/>
        <v>23.214285714285715</v>
      </c>
      <c r="N229">
        <f t="shared" si="20"/>
        <v>11.607142857142858</v>
      </c>
    </row>
    <row r="230" spans="3:14" x14ac:dyDescent="0.2">
      <c r="C230" s="5">
        <v>42.703579758645169</v>
      </c>
      <c r="D230" s="5">
        <v>21.29601460298144</v>
      </c>
      <c r="E230" s="5">
        <v>18.253726802555523</v>
      </c>
      <c r="F230" s="5">
        <v>12.676199168441334</v>
      </c>
      <c r="G230" s="5">
        <v>5.0704796673765342</v>
      </c>
      <c r="H230" s="18">
        <f t="shared" si="16"/>
        <v>99.999999999999986</v>
      </c>
      <c r="K230">
        <f t="shared" si="17"/>
        <v>37.16814159292035</v>
      </c>
      <c r="L230">
        <f t="shared" si="18"/>
        <v>31.858407079646021</v>
      </c>
      <c r="M230">
        <f t="shared" si="19"/>
        <v>22.123893805309734</v>
      </c>
      <c r="N230">
        <f t="shared" si="20"/>
        <v>8.8495575221238951</v>
      </c>
    </row>
    <row r="231" spans="3:14" x14ac:dyDescent="0.2">
      <c r="C231" s="5">
        <v>48.5</v>
      </c>
      <c r="D231" s="5">
        <v>16</v>
      </c>
      <c r="E231" s="5">
        <v>17.5</v>
      </c>
      <c r="F231" s="5">
        <v>12</v>
      </c>
      <c r="G231" s="5">
        <v>6</v>
      </c>
      <c r="H231" s="18">
        <f t="shared" si="16"/>
        <v>100</v>
      </c>
      <c r="K231">
        <f t="shared" si="17"/>
        <v>31.067961165048541</v>
      </c>
      <c r="L231">
        <f t="shared" si="18"/>
        <v>33.980582524271846</v>
      </c>
      <c r="M231">
        <f t="shared" si="19"/>
        <v>23.300970873786408</v>
      </c>
      <c r="N231">
        <f t="shared" si="20"/>
        <v>11.650485436893204</v>
      </c>
    </row>
    <row r="232" spans="3:14" x14ac:dyDescent="0.2">
      <c r="C232" s="5">
        <v>54</v>
      </c>
      <c r="D232" s="5">
        <v>17</v>
      </c>
      <c r="E232" s="5">
        <v>15</v>
      </c>
      <c r="F232" s="5">
        <v>10</v>
      </c>
      <c r="G232" s="5">
        <v>4</v>
      </c>
      <c r="H232" s="18">
        <f t="shared" si="16"/>
        <v>100</v>
      </c>
      <c r="K232">
        <f t="shared" si="17"/>
        <v>36.95652173913043</v>
      </c>
      <c r="L232">
        <f t="shared" si="18"/>
        <v>32.608695652173914</v>
      </c>
      <c r="M232">
        <f t="shared" si="19"/>
        <v>21.739130434782609</v>
      </c>
      <c r="N232">
        <f t="shared" si="20"/>
        <v>8.695652173913043</v>
      </c>
    </row>
    <row r="233" spans="3:14" x14ac:dyDescent="0.2">
      <c r="C233" s="5">
        <v>56.179775280898866</v>
      </c>
      <c r="D233" s="5">
        <v>6.9458631256384056</v>
      </c>
      <c r="E233" s="5">
        <v>19.101123595505616</v>
      </c>
      <c r="F233" s="5">
        <v>11.644535240040858</v>
      </c>
      <c r="G233" s="5">
        <v>6.1287027579162405</v>
      </c>
      <c r="H233" s="18">
        <f t="shared" si="16"/>
        <v>99.999999999999986</v>
      </c>
      <c r="K233">
        <f t="shared" si="17"/>
        <v>15.850815850815851</v>
      </c>
      <c r="L233">
        <f t="shared" si="18"/>
        <v>43.589743589743591</v>
      </c>
      <c r="M233">
        <f t="shared" si="19"/>
        <v>26.573426573426573</v>
      </c>
      <c r="N233">
        <f t="shared" si="20"/>
        <v>13.986013986013987</v>
      </c>
    </row>
    <row r="234" spans="3:14" x14ac:dyDescent="0.2">
      <c r="C234" s="5">
        <v>50.918367346938787</v>
      </c>
      <c r="D234" s="5">
        <v>9.4897959183673475</v>
      </c>
      <c r="E234" s="5">
        <v>22.244897959183675</v>
      </c>
      <c r="F234" s="5">
        <v>11.224489795918368</v>
      </c>
      <c r="G234" s="5">
        <v>6.1224489795918364</v>
      </c>
      <c r="H234" s="18">
        <f t="shared" si="16"/>
        <v>100.00000000000003</v>
      </c>
      <c r="K234">
        <f t="shared" si="17"/>
        <v>19.334719334719335</v>
      </c>
      <c r="L234">
        <f t="shared" si="18"/>
        <v>45.322245322245323</v>
      </c>
      <c r="M234">
        <f t="shared" si="19"/>
        <v>22.869022869022867</v>
      </c>
      <c r="N234">
        <f t="shared" si="20"/>
        <v>12.474012474012474</v>
      </c>
    </row>
    <row r="235" spans="3:14" x14ac:dyDescent="0.2">
      <c r="C235" s="5">
        <v>45.010183299389006</v>
      </c>
      <c r="D235" s="5">
        <v>13.238289205702646</v>
      </c>
      <c r="E235" s="5">
        <v>25.152749490835031</v>
      </c>
      <c r="F235" s="5">
        <v>10.997963340122199</v>
      </c>
      <c r="G235" s="5">
        <v>5.6008146639511205</v>
      </c>
      <c r="H235" s="18">
        <f t="shared" si="16"/>
        <v>100.00000000000001</v>
      </c>
      <c r="K235">
        <f t="shared" si="17"/>
        <v>24.074074074074073</v>
      </c>
      <c r="L235">
        <f t="shared" si="18"/>
        <v>45.74074074074074</v>
      </c>
      <c r="M235">
        <f t="shared" si="19"/>
        <v>20</v>
      </c>
      <c r="N235">
        <f t="shared" si="20"/>
        <v>10.185185185185187</v>
      </c>
    </row>
    <row r="236" spans="3:14" x14ac:dyDescent="0.2">
      <c r="C236" s="5">
        <v>39.393939393939391</v>
      </c>
      <c r="D236" s="5">
        <v>16.161616161616163</v>
      </c>
      <c r="E236" s="5">
        <v>28.18181818181818</v>
      </c>
      <c r="F236" s="5">
        <v>11.111111111111111</v>
      </c>
      <c r="G236" s="5">
        <v>5.1515151515151514</v>
      </c>
      <c r="H236" s="18">
        <f t="shared" si="16"/>
        <v>100</v>
      </c>
      <c r="K236">
        <f t="shared" si="17"/>
        <v>26.666666666666671</v>
      </c>
      <c r="L236">
        <f t="shared" si="18"/>
        <v>46.5</v>
      </c>
      <c r="M236">
        <f t="shared" si="19"/>
        <v>18.333333333333336</v>
      </c>
      <c r="N236">
        <f t="shared" si="20"/>
        <v>8.5</v>
      </c>
    </row>
    <row r="237" spans="3:14" x14ac:dyDescent="0.2">
      <c r="C237" s="5">
        <v>35.276381909547744</v>
      </c>
      <c r="D237" s="5">
        <v>18.693467336683415</v>
      </c>
      <c r="E237" s="5">
        <v>31.457286432160803</v>
      </c>
      <c r="F237" s="5">
        <v>10.452261306532662</v>
      </c>
      <c r="G237" s="5">
        <v>4.1206030150753765</v>
      </c>
      <c r="H237" s="18">
        <f t="shared" si="16"/>
        <v>100</v>
      </c>
      <c r="K237">
        <f t="shared" si="17"/>
        <v>28.881987577639752</v>
      </c>
      <c r="L237">
        <f t="shared" si="18"/>
        <v>48.602484472049689</v>
      </c>
      <c r="M237">
        <f t="shared" si="19"/>
        <v>16.149068322981364</v>
      </c>
      <c r="N237">
        <f t="shared" si="20"/>
        <v>6.366459627329192</v>
      </c>
    </row>
    <row r="238" spans="3:14" x14ac:dyDescent="0.2">
      <c r="C238" s="5">
        <v>53.680981595092028</v>
      </c>
      <c r="D238" s="5">
        <v>10.020449897750511</v>
      </c>
      <c r="E238" s="5">
        <v>21.88139059304703</v>
      </c>
      <c r="F238" s="5">
        <v>8.2822085889570527</v>
      </c>
      <c r="G238" s="5">
        <v>6.1349693251533735</v>
      </c>
      <c r="H238" s="18">
        <f t="shared" si="16"/>
        <v>100</v>
      </c>
      <c r="K238">
        <f t="shared" si="17"/>
        <v>21.633554083885215</v>
      </c>
      <c r="L238">
        <f t="shared" si="18"/>
        <v>47.240618101545259</v>
      </c>
      <c r="M238">
        <f t="shared" si="19"/>
        <v>17.880794701986755</v>
      </c>
      <c r="N238">
        <f t="shared" si="20"/>
        <v>13.245033112582782</v>
      </c>
    </row>
    <row r="239" spans="3:14" x14ac:dyDescent="0.2">
      <c r="C239" s="5">
        <v>51.573604060913716</v>
      </c>
      <c r="D239" s="5">
        <v>9.1370558375634516</v>
      </c>
      <c r="E239" s="5">
        <v>20.406091370558379</v>
      </c>
      <c r="F239" s="5">
        <v>13.705583756345177</v>
      </c>
      <c r="G239" s="5">
        <v>5.1776649746192893</v>
      </c>
      <c r="H239" s="18">
        <f t="shared" si="16"/>
        <v>100.00000000000001</v>
      </c>
      <c r="K239">
        <f t="shared" si="17"/>
        <v>18.867924528301884</v>
      </c>
      <c r="L239">
        <f t="shared" si="18"/>
        <v>42.138364779874216</v>
      </c>
      <c r="M239">
        <f t="shared" si="19"/>
        <v>28.30188679245283</v>
      </c>
      <c r="N239">
        <f t="shared" si="20"/>
        <v>10.691823899371068</v>
      </c>
    </row>
    <row r="240" spans="3:14" x14ac:dyDescent="0.2">
      <c r="C240" s="5">
        <v>52.419354838709687</v>
      </c>
      <c r="D240" s="5">
        <v>7.9637096774193576</v>
      </c>
      <c r="E240" s="5">
        <v>19.052419354838712</v>
      </c>
      <c r="F240" s="5">
        <v>16.229838709677423</v>
      </c>
      <c r="G240" s="5">
        <v>4.3346774193548399</v>
      </c>
      <c r="H240" s="18">
        <f t="shared" si="16"/>
        <v>100.00000000000003</v>
      </c>
      <c r="K240">
        <f t="shared" si="17"/>
        <v>16.737288135593221</v>
      </c>
      <c r="L240">
        <f t="shared" si="18"/>
        <v>40.042372881355924</v>
      </c>
      <c r="M240">
        <f t="shared" si="19"/>
        <v>34.110169491525419</v>
      </c>
      <c r="N240">
        <f t="shared" si="20"/>
        <v>9.1101694915254239</v>
      </c>
    </row>
    <row r="241" spans="3:14" x14ac:dyDescent="0.2">
      <c r="C241" s="5">
        <v>55.678391959798986</v>
      </c>
      <c r="D241" s="5">
        <v>6.5326633165829149</v>
      </c>
      <c r="E241" s="5">
        <v>15.879396984924623</v>
      </c>
      <c r="F241" s="5">
        <v>18.793969849246231</v>
      </c>
      <c r="G241" s="5">
        <v>3.1155778894472363</v>
      </c>
      <c r="H241" s="18">
        <f t="shared" si="16"/>
        <v>99.999999999999986</v>
      </c>
      <c r="K241">
        <f t="shared" si="17"/>
        <v>14.739229024943313</v>
      </c>
      <c r="L241">
        <f t="shared" si="18"/>
        <v>35.827664399092967</v>
      </c>
      <c r="M241">
        <f t="shared" si="19"/>
        <v>42.403628117913833</v>
      </c>
      <c r="N241">
        <f t="shared" si="20"/>
        <v>7.029478458049887</v>
      </c>
    </row>
    <row r="242" spans="3:14" x14ac:dyDescent="0.2">
      <c r="C242" s="5">
        <v>52.781399391568897</v>
      </c>
      <c r="D242" s="5">
        <v>7.5076053889613235</v>
      </c>
      <c r="E242" s="5">
        <v>12.331594958713605</v>
      </c>
      <c r="F242" s="5">
        <v>25.99956540634507</v>
      </c>
      <c r="G242" s="5">
        <v>1.3798348544111261</v>
      </c>
      <c r="H242" s="18">
        <f t="shared" si="16"/>
        <v>100.00000000000003</v>
      </c>
      <c r="K242">
        <f t="shared" si="17"/>
        <v>15.899677864703174</v>
      </c>
      <c r="L242">
        <f t="shared" si="18"/>
        <v>26.115968706856879</v>
      </c>
      <c r="M242">
        <f t="shared" si="19"/>
        <v>55.062126092959026</v>
      </c>
      <c r="N242">
        <f t="shared" si="20"/>
        <v>2.9222273354809021</v>
      </c>
    </row>
    <row r="243" spans="3:14" x14ac:dyDescent="0.2">
      <c r="C243" s="5">
        <v>53.762875762034888</v>
      </c>
      <c r="D243" s="5">
        <v>8.6504099222198878</v>
      </c>
      <c r="E243" s="5">
        <v>14.242169434517555</v>
      </c>
      <c r="F243" s="5">
        <v>21.41055286945554</v>
      </c>
      <c r="G243" s="5">
        <v>1.9339920117721252</v>
      </c>
      <c r="H243" s="18">
        <f t="shared" si="16"/>
        <v>99.999999999999986</v>
      </c>
      <c r="K243">
        <f t="shared" si="17"/>
        <v>18.70879745396681</v>
      </c>
      <c r="L243">
        <f t="shared" si="18"/>
        <v>30.802455103432596</v>
      </c>
      <c r="M243">
        <f t="shared" si="19"/>
        <v>46.305978631507152</v>
      </c>
      <c r="N243">
        <f t="shared" si="20"/>
        <v>4.1827688110934291</v>
      </c>
    </row>
    <row r="244" spans="3:14" x14ac:dyDescent="0.2">
      <c r="C244" s="5">
        <v>52.819793649203639</v>
      </c>
      <c r="D244" s="5">
        <v>10.938595612541318</v>
      </c>
      <c r="E244" s="5">
        <v>16.748472403085241</v>
      </c>
      <c r="F244" s="5">
        <v>16.508063708304118</v>
      </c>
      <c r="G244" s="5">
        <v>2.9850746268656714</v>
      </c>
      <c r="H244" s="18">
        <f t="shared" si="16"/>
        <v>99.999999999999986</v>
      </c>
      <c r="K244">
        <f t="shared" si="17"/>
        <v>23.184713375796182</v>
      </c>
      <c r="L244">
        <f t="shared" si="18"/>
        <v>35.498938428874737</v>
      </c>
      <c r="M244">
        <f t="shared" si="19"/>
        <v>34.989384288747353</v>
      </c>
      <c r="N244">
        <f t="shared" si="20"/>
        <v>6.3269639065817422</v>
      </c>
    </row>
    <row r="245" spans="3:14" x14ac:dyDescent="0.2">
      <c r="C245" s="5">
        <v>52.272060979184999</v>
      </c>
      <c r="D245" s="5">
        <v>12.489006156552332</v>
      </c>
      <c r="E245" s="5">
        <v>18.557607739665787</v>
      </c>
      <c r="F245" s="5">
        <v>12.811492231017299</v>
      </c>
      <c r="G245" s="5">
        <v>3.8698328935795958</v>
      </c>
      <c r="H245" s="18">
        <f t="shared" si="16"/>
        <v>100.00000000000001</v>
      </c>
      <c r="K245">
        <f t="shared" si="17"/>
        <v>26.167076167076164</v>
      </c>
      <c r="L245">
        <f t="shared" si="18"/>
        <v>38.882063882063875</v>
      </c>
      <c r="M245">
        <f t="shared" si="19"/>
        <v>26.842751842751845</v>
      </c>
      <c r="N245">
        <f t="shared" si="20"/>
        <v>8.1081081081081088</v>
      </c>
    </row>
    <row r="246" spans="3:14" x14ac:dyDescent="0.2">
      <c r="C246" s="5">
        <v>53.379998082270589</v>
      </c>
      <c r="D246" s="5">
        <v>12.954262153610124</v>
      </c>
      <c r="E246" s="5">
        <v>18.995109790008627</v>
      </c>
      <c r="F246" s="5">
        <v>11.103653274522964</v>
      </c>
      <c r="G246" s="5">
        <v>3.5669766995876881</v>
      </c>
      <c r="H246" s="18">
        <f t="shared" si="16"/>
        <v>100</v>
      </c>
      <c r="K246">
        <f t="shared" si="17"/>
        <v>27.786918963389549</v>
      </c>
      <c r="L246">
        <f t="shared" si="18"/>
        <v>40.744549568078973</v>
      </c>
      <c r="M246">
        <f t="shared" si="19"/>
        <v>23.817359111476762</v>
      </c>
      <c r="N246">
        <f t="shared" si="20"/>
        <v>7.651172357054711</v>
      </c>
    </row>
    <row r="247" spans="3:14" x14ac:dyDescent="0.2">
      <c r="C247" s="5">
        <v>54.388984509466432</v>
      </c>
      <c r="D247" s="5">
        <v>11.723082807420155</v>
      </c>
      <c r="E247" s="5">
        <v>17.18301778542742</v>
      </c>
      <c r="F247" s="5">
        <v>13.214763817173456</v>
      </c>
      <c r="G247" s="5">
        <v>3.4901510805125255</v>
      </c>
      <c r="H247" s="18">
        <f t="shared" si="16"/>
        <v>100</v>
      </c>
      <c r="K247">
        <f t="shared" si="17"/>
        <v>25.702306079664574</v>
      </c>
      <c r="L247">
        <f t="shared" si="18"/>
        <v>37.672955974842772</v>
      </c>
      <c r="M247">
        <f t="shared" si="19"/>
        <v>28.972746331236905</v>
      </c>
      <c r="N247">
        <f t="shared" si="20"/>
        <v>7.6519916142557651</v>
      </c>
    </row>
    <row r="248" spans="3:14" x14ac:dyDescent="0.2">
      <c r="C248" s="5">
        <v>56.634733946694496</v>
      </c>
      <c r="D248" s="5">
        <v>10.035094375414969</v>
      </c>
      <c r="E248" s="5">
        <v>14.379208953808215</v>
      </c>
      <c r="F248" s="5">
        <v>17.461823010528313</v>
      </c>
      <c r="G248" s="5">
        <v>1.489139713554017</v>
      </c>
      <c r="H248" s="18">
        <f t="shared" si="16"/>
        <v>100</v>
      </c>
      <c r="K248">
        <f t="shared" si="17"/>
        <v>23.1408573928259</v>
      </c>
      <c r="L248">
        <f t="shared" si="18"/>
        <v>33.1583552055993</v>
      </c>
      <c r="M248">
        <f t="shared" si="19"/>
        <v>40.266841644794397</v>
      </c>
      <c r="N248">
        <f t="shared" si="20"/>
        <v>3.4339457567804024</v>
      </c>
    </row>
    <row r="249" spans="3:14" x14ac:dyDescent="0.2">
      <c r="C249" s="5">
        <v>62.044534412955464</v>
      </c>
      <c r="D249" s="5">
        <v>7.0850202429149798</v>
      </c>
      <c r="E249" s="5">
        <v>14.17004048582996</v>
      </c>
      <c r="F249" s="5">
        <v>13.663967611336034</v>
      </c>
      <c r="G249" s="5">
        <v>3.0364372469635628</v>
      </c>
      <c r="H249" s="18">
        <f t="shared" si="16"/>
        <v>100</v>
      </c>
      <c r="K249">
        <f t="shared" si="17"/>
        <v>18.666666666666664</v>
      </c>
      <c r="L249">
        <f t="shared" si="18"/>
        <v>37.333333333333329</v>
      </c>
      <c r="M249">
        <f t="shared" si="19"/>
        <v>36.000000000000007</v>
      </c>
      <c r="N249">
        <f t="shared" si="20"/>
        <v>8</v>
      </c>
    </row>
    <row r="250" spans="3:14" x14ac:dyDescent="0.2">
      <c r="C250" s="5">
        <v>59.187817258883243</v>
      </c>
      <c r="D250" s="5">
        <v>9.6446700507614214</v>
      </c>
      <c r="E250" s="5">
        <v>13.197969543147209</v>
      </c>
      <c r="F250" s="5">
        <v>15.228426395939088</v>
      </c>
      <c r="G250" s="5">
        <v>2.7411167512690358</v>
      </c>
      <c r="H250" s="18">
        <f t="shared" si="16"/>
        <v>100</v>
      </c>
      <c r="K250">
        <f t="shared" si="17"/>
        <v>23.631840796019901</v>
      </c>
      <c r="L250">
        <f t="shared" si="18"/>
        <v>32.338308457711449</v>
      </c>
      <c r="M250">
        <f t="shared" si="19"/>
        <v>37.313432835820905</v>
      </c>
      <c r="N250">
        <f t="shared" si="20"/>
        <v>6.7164179104477624</v>
      </c>
    </row>
    <row r="251" spans="3:14" x14ac:dyDescent="0.2">
      <c r="C251" s="5">
        <v>67.23963599595551</v>
      </c>
      <c r="D251" s="5">
        <v>8.0889787664307384</v>
      </c>
      <c r="E251" s="5">
        <v>10.111223458038422</v>
      </c>
      <c r="F251" s="5">
        <v>12.133468149646106</v>
      </c>
      <c r="G251" s="5">
        <v>2.426693629929221</v>
      </c>
      <c r="H251" s="18">
        <f t="shared" si="16"/>
        <v>100</v>
      </c>
      <c r="K251">
        <f t="shared" si="17"/>
        <v>24.691358024691365</v>
      </c>
      <c r="L251">
        <f t="shared" si="18"/>
        <v>30.864197530864203</v>
      </c>
      <c r="M251">
        <f t="shared" si="19"/>
        <v>37.037037037037038</v>
      </c>
      <c r="N251">
        <f t="shared" si="20"/>
        <v>7.4074074074074066</v>
      </c>
    </row>
    <row r="252" spans="3:14" x14ac:dyDescent="0.2">
      <c r="C252" s="5">
        <v>59.187817258883243</v>
      </c>
      <c r="D252" s="5">
        <v>9.6446700507614214</v>
      </c>
      <c r="E252" s="5">
        <v>13.197969543147209</v>
      </c>
      <c r="F252" s="5">
        <v>15.228426395939088</v>
      </c>
      <c r="G252" s="5">
        <v>2.7411167512690358</v>
      </c>
      <c r="H252" s="18">
        <f t="shared" si="16"/>
        <v>100</v>
      </c>
      <c r="K252">
        <f t="shared" si="17"/>
        <v>23.631840796019901</v>
      </c>
      <c r="L252">
        <f t="shared" si="18"/>
        <v>32.338308457711449</v>
      </c>
      <c r="M252">
        <f t="shared" si="19"/>
        <v>37.313432835820905</v>
      </c>
      <c r="N252">
        <f t="shared" si="20"/>
        <v>6.7164179104477624</v>
      </c>
    </row>
    <row r="253" spans="3:14" x14ac:dyDescent="0.2">
      <c r="C253" s="5">
        <v>59.187817258883243</v>
      </c>
      <c r="D253" s="5">
        <v>9.6446700507614214</v>
      </c>
      <c r="E253" s="5">
        <v>13.197969543147209</v>
      </c>
      <c r="F253" s="5">
        <v>15.228426395939088</v>
      </c>
      <c r="G253" s="5">
        <v>2.7411167512690358</v>
      </c>
      <c r="H253" s="18">
        <f t="shared" si="16"/>
        <v>100</v>
      </c>
      <c r="K253">
        <f t="shared" si="17"/>
        <v>23.631840796019901</v>
      </c>
      <c r="L253">
        <f t="shared" si="18"/>
        <v>32.338308457711449</v>
      </c>
      <c r="M253">
        <f t="shared" si="19"/>
        <v>37.313432835820905</v>
      </c>
      <c r="N253">
        <f t="shared" si="20"/>
        <v>6.7164179104477624</v>
      </c>
    </row>
    <row r="254" spans="3:14" x14ac:dyDescent="0.2">
      <c r="C254" s="5">
        <v>49.723756906077348</v>
      </c>
      <c r="D254" s="5">
        <v>10.497237569060774</v>
      </c>
      <c r="E254" s="5">
        <v>19.88950276243094</v>
      </c>
      <c r="F254" s="5">
        <v>14.917127071823206</v>
      </c>
      <c r="G254" s="5">
        <v>4.972375690607735</v>
      </c>
      <c r="H254" s="18">
        <f t="shared" si="16"/>
        <v>100</v>
      </c>
      <c r="K254">
        <f t="shared" si="17"/>
        <v>20.879120879120876</v>
      </c>
      <c r="L254">
        <f t="shared" si="18"/>
        <v>39.560439560439562</v>
      </c>
      <c r="M254">
        <f t="shared" si="19"/>
        <v>29.670329670329672</v>
      </c>
      <c r="N254">
        <f t="shared" si="20"/>
        <v>9.8901098901098905</v>
      </c>
    </row>
    <row r="255" spans="3:14" x14ac:dyDescent="0.2">
      <c r="C255" s="5">
        <v>51.845536609829487</v>
      </c>
      <c r="D255" s="5">
        <v>16.0481444332999</v>
      </c>
      <c r="E255" s="5">
        <v>16.0481444332999</v>
      </c>
      <c r="F255" s="5">
        <v>14.292878635907721</v>
      </c>
      <c r="G255" s="5">
        <v>1.7652958876629889</v>
      </c>
      <c r="H255" s="18">
        <f t="shared" si="16"/>
        <v>100</v>
      </c>
      <c r="K255">
        <f t="shared" si="17"/>
        <v>33.326390335346808</v>
      </c>
      <c r="L255">
        <f t="shared" si="18"/>
        <v>33.326390335346808</v>
      </c>
      <c r="M255">
        <f t="shared" si="19"/>
        <v>29.681316392418246</v>
      </c>
      <c r="N255">
        <f t="shared" si="20"/>
        <v>3.6659029368881493</v>
      </c>
    </row>
    <row r="256" spans="3:14" x14ac:dyDescent="0.2">
      <c r="C256" s="5">
        <v>51.997196916608267</v>
      </c>
      <c r="D256" s="5">
        <v>15.016518169986986</v>
      </c>
      <c r="E256" s="5">
        <v>20.522574832315545</v>
      </c>
      <c r="F256" s="5">
        <v>11.512663930323356</v>
      </c>
      <c r="G256" s="5">
        <v>0.95104615076584231</v>
      </c>
      <c r="H256" s="18">
        <f t="shared" si="16"/>
        <v>100</v>
      </c>
      <c r="K256">
        <f t="shared" si="17"/>
        <v>31.282586027111581</v>
      </c>
      <c r="L256">
        <f t="shared" si="18"/>
        <v>42.752867570385817</v>
      </c>
      <c r="M256">
        <f t="shared" si="19"/>
        <v>23.983315954118879</v>
      </c>
      <c r="N256">
        <f t="shared" si="20"/>
        <v>1.9812304483837331</v>
      </c>
    </row>
    <row r="257" spans="3:14" x14ac:dyDescent="0.2">
      <c r="C257" s="5">
        <v>53.106553276638316</v>
      </c>
      <c r="D257" s="5">
        <v>13.756878439219609</v>
      </c>
      <c r="E257" s="5">
        <v>20.510255127563777</v>
      </c>
      <c r="F257" s="5">
        <v>12.006003001500748</v>
      </c>
      <c r="G257" s="5">
        <v>0.62031015507753862</v>
      </c>
      <c r="H257" s="18">
        <f t="shared" si="16"/>
        <v>99.999999999999986</v>
      </c>
      <c r="K257">
        <f t="shared" si="17"/>
        <v>29.336462556005976</v>
      </c>
      <c r="L257">
        <f t="shared" si="18"/>
        <v>43.737998719863455</v>
      </c>
      <c r="M257">
        <f t="shared" si="19"/>
        <v>25.602730957968848</v>
      </c>
      <c r="N257">
        <f t="shared" si="20"/>
        <v>1.3228077661617239</v>
      </c>
    </row>
    <row r="258" spans="3:14" x14ac:dyDescent="0.2">
      <c r="C258" s="5">
        <v>55.736721016304891</v>
      </c>
      <c r="D258" s="5">
        <v>12.003601080324097</v>
      </c>
      <c r="E258" s="5">
        <v>23.757127138141442</v>
      </c>
      <c r="F258" s="5">
        <v>8.252475742722817</v>
      </c>
      <c r="G258" s="5">
        <v>0.25007502250675201</v>
      </c>
      <c r="H258" s="18">
        <f t="shared" si="16"/>
        <v>100</v>
      </c>
      <c r="K258">
        <f t="shared" si="17"/>
        <v>27.118644067796616</v>
      </c>
      <c r="L258">
        <f t="shared" si="18"/>
        <v>53.672316384180796</v>
      </c>
      <c r="M258">
        <f t="shared" si="19"/>
        <v>18.644067796610173</v>
      </c>
      <c r="N258">
        <f t="shared" si="20"/>
        <v>0.5649717514124295</v>
      </c>
    </row>
    <row r="259" spans="3:14" x14ac:dyDescent="0.2">
      <c r="C259" s="5">
        <v>56.323794276565941</v>
      </c>
      <c r="D259" s="5">
        <v>12.007204322593557</v>
      </c>
      <c r="E259" s="5">
        <v>21.512907744646789</v>
      </c>
      <c r="F259" s="5">
        <v>9.7558535121072634</v>
      </c>
      <c r="G259" s="5">
        <v>0.40024014408645192</v>
      </c>
      <c r="H259" s="18">
        <f t="shared" ref="H259:H322" si="21">SUM(C259:G259)</f>
        <v>100</v>
      </c>
      <c r="K259">
        <f t="shared" ref="K259:K322" si="22">(D259/SUM($D259:$G259))*100</f>
        <v>27.491408934707902</v>
      </c>
      <c r="L259">
        <f t="shared" ref="L259:L322" si="23">(E259/SUM($D259:$G259))*100</f>
        <v>49.255441008018323</v>
      </c>
      <c r="M259">
        <f t="shared" ref="M259:M322" si="24">(F259/SUM($D259:$G259))*100</f>
        <v>22.336769759450167</v>
      </c>
      <c r="N259">
        <f t="shared" ref="N259:N322" si="25">(G259/SUM($D259:$G259))*100</f>
        <v>0.91638029782359687</v>
      </c>
    </row>
    <row r="260" spans="3:14" x14ac:dyDescent="0.2">
      <c r="C260" s="5">
        <v>0</v>
      </c>
      <c r="D260" s="5">
        <v>71.5</v>
      </c>
      <c r="E260" s="5">
        <v>9</v>
      </c>
      <c r="F260" s="5">
        <v>7.5</v>
      </c>
      <c r="G260" s="5">
        <v>12</v>
      </c>
      <c r="H260" s="18">
        <f t="shared" si="21"/>
        <v>100</v>
      </c>
      <c r="K260">
        <f t="shared" si="22"/>
        <v>71.5</v>
      </c>
      <c r="L260">
        <f t="shared" si="23"/>
        <v>9</v>
      </c>
      <c r="M260">
        <f t="shared" si="24"/>
        <v>7.5</v>
      </c>
      <c r="N260">
        <f t="shared" si="25"/>
        <v>12</v>
      </c>
    </row>
    <row r="261" spans="3:14" x14ac:dyDescent="0.2">
      <c r="C261" s="5">
        <v>0</v>
      </c>
      <c r="D261" s="5">
        <v>64</v>
      </c>
      <c r="E261" s="5">
        <v>13</v>
      </c>
      <c r="F261" s="5">
        <v>14.000000000000002</v>
      </c>
      <c r="G261" s="5">
        <v>9</v>
      </c>
      <c r="H261" s="18">
        <f t="shared" si="21"/>
        <v>100</v>
      </c>
      <c r="K261">
        <f t="shared" si="22"/>
        <v>64</v>
      </c>
      <c r="L261">
        <f t="shared" si="23"/>
        <v>13</v>
      </c>
      <c r="M261">
        <f t="shared" si="24"/>
        <v>14.000000000000002</v>
      </c>
      <c r="N261">
        <f t="shared" si="25"/>
        <v>9</v>
      </c>
    </row>
    <row r="262" spans="3:14" x14ac:dyDescent="0.2">
      <c r="C262" s="5">
        <v>0</v>
      </c>
      <c r="D262" s="5">
        <v>60</v>
      </c>
      <c r="E262" s="5">
        <v>15</v>
      </c>
      <c r="F262" s="5">
        <v>17</v>
      </c>
      <c r="G262" s="5">
        <v>8</v>
      </c>
      <c r="H262" s="18">
        <f t="shared" si="21"/>
        <v>100</v>
      </c>
      <c r="K262">
        <f t="shared" si="22"/>
        <v>60</v>
      </c>
      <c r="L262">
        <f t="shared" si="23"/>
        <v>15</v>
      </c>
      <c r="M262">
        <f t="shared" si="24"/>
        <v>17</v>
      </c>
      <c r="N262">
        <f t="shared" si="25"/>
        <v>8</v>
      </c>
    </row>
    <row r="263" spans="3:14" x14ac:dyDescent="0.2">
      <c r="C263" s="5">
        <v>1</v>
      </c>
      <c r="D263" s="5">
        <v>56.000000000000007</v>
      </c>
      <c r="E263" s="5">
        <v>20</v>
      </c>
      <c r="F263" s="5">
        <v>15</v>
      </c>
      <c r="G263" s="5">
        <v>8</v>
      </c>
      <c r="H263" s="18">
        <f t="shared" si="21"/>
        <v>100</v>
      </c>
      <c r="K263">
        <f t="shared" si="22"/>
        <v>56.565656565656575</v>
      </c>
      <c r="L263">
        <f t="shared" si="23"/>
        <v>20.202020202020201</v>
      </c>
      <c r="M263">
        <f t="shared" si="24"/>
        <v>15.151515151515152</v>
      </c>
      <c r="N263">
        <f t="shared" si="25"/>
        <v>8.0808080808080813</v>
      </c>
    </row>
    <row r="264" spans="3:14" x14ac:dyDescent="0.2">
      <c r="C264" s="5">
        <v>0.5</v>
      </c>
      <c r="D264" s="5">
        <v>52.5</v>
      </c>
      <c r="E264" s="5">
        <v>25</v>
      </c>
      <c r="F264" s="5">
        <v>14.000000000000002</v>
      </c>
      <c r="G264" s="5">
        <v>8</v>
      </c>
      <c r="H264" s="18">
        <f t="shared" si="21"/>
        <v>100</v>
      </c>
      <c r="K264">
        <f t="shared" si="22"/>
        <v>52.76381909547738</v>
      </c>
      <c r="L264">
        <f t="shared" si="23"/>
        <v>25.125628140703515</v>
      </c>
      <c r="M264">
        <f t="shared" si="24"/>
        <v>14.070351758793972</v>
      </c>
      <c r="N264">
        <f t="shared" si="25"/>
        <v>8.0402010050251249</v>
      </c>
    </row>
    <row r="265" spans="3:14" x14ac:dyDescent="0.2">
      <c r="C265" s="5">
        <v>0</v>
      </c>
      <c r="D265" s="5">
        <v>56.000000000000007</v>
      </c>
      <c r="E265" s="5">
        <v>20</v>
      </c>
      <c r="F265" s="5">
        <v>15</v>
      </c>
      <c r="G265" s="5">
        <v>9</v>
      </c>
      <c r="H265" s="18">
        <f t="shared" si="21"/>
        <v>100</v>
      </c>
      <c r="K265">
        <f t="shared" si="22"/>
        <v>56.000000000000007</v>
      </c>
      <c r="L265">
        <f t="shared" si="23"/>
        <v>20</v>
      </c>
      <c r="M265">
        <f t="shared" si="24"/>
        <v>15</v>
      </c>
      <c r="N265">
        <f t="shared" si="25"/>
        <v>9</v>
      </c>
    </row>
    <row r="266" spans="3:14" x14ac:dyDescent="0.2">
      <c r="C266" s="5">
        <v>0</v>
      </c>
      <c r="D266" s="5">
        <v>57.2139303482587</v>
      </c>
      <c r="E266" s="5">
        <v>17.910447761194028</v>
      </c>
      <c r="F266" s="5">
        <v>16.915422885572141</v>
      </c>
      <c r="G266" s="5">
        <v>7.9601990049751246</v>
      </c>
      <c r="H266" s="18">
        <f t="shared" si="21"/>
        <v>99.999999999999986</v>
      </c>
      <c r="K266">
        <f t="shared" si="22"/>
        <v>57.213930348258714</v>
      </c>
      <c r="L266">
        <f t="shared" si="23"/>
        <v>17.910447761194032</v>
      </c>
      <c r="M266">
        <f t="shared" si="24"/>
        <v>16.915422885572141</v>
      </c>
      <c r="N266">
        <f t="shared" si="25"/>
        <v>7.9601990049751254</v>
      </c>
    </row>
    <row r="267" spans="3:14" x14ac:dyDescent="0.2">
      <c r="C267" s="5">
        <v>0</v>
      </c>
      <c r="D267" s="5">
        <v>59.701492537313428</v>
      </c>
      <c r="E267" s="5">
        <v>14.925373134328357</v>
      </c>
      <c r="F267" s="5">
        <v>17.412935323383085</v>
      </c>
      <c r="G267" s="5">
        <v>7.9601990049751246</v>
      </c>
      <c r="H267" s="18">
        <f t="shared" si="21"/>
        <v>99.999999999999986</v>
      </c>
      <c r="K267">
        <f t="shared" si="22"/>
        <v>59.701492537313442</v>
      </c>
      <c r="L267">
        <f t="shared" si="23"/>
        <v>14.92537313432836</v>
      </c>
      <c r="M267">
        <f t="shared" si="24"/>
        <v>17.412935323383088</v>
      </c>
      <c r="N267">
        <f t="shared" si="25"/>
        <v>7.9601990049751254</v>
      </c>
    </row>
    <row r="268" spans="3:14" x14ac:dyDescent="0.2">
      <c r="C268" s="5">
        <v>0</v>
      </c>
      <c r="D268" s="5">
        <v>59.701492537313428</v>
      </c>
      <c r="E268" s="5">
        <v>14.925373134328357</v>
      </c>
      <c r="F268" s="5">
        <v>17.412935323383085</v>
      </c>
      <c r="G268" s="5">
        <v>7.9601990049751246</v>
      </c>
      <c r="H268" s="18">
        <f t="shared" si="21"/>
        <v>99.999999999999986</v>
      </c>
      <c r="K268">
        <f t="shared" si="22"/>
        <v>59.701492537313442</v>
      </c>
      <c r="L268">
        <f t="shared" si="23"/>
        <v>14.92537313432836</v>
      </c>
      <c r="M268">
        <f t="shared" si="24"/>
        <v>17.412935323383088</v>
      </c>
      <c r="N268">
        <f t="shared" si="25"/>
        <v>7.9601990049751254</v>
      </c>
    </row>
    <row r="269" spans="3:14" x14ac:dyDescent="0.2">
      <c r="C269" s="5">
        <v>0</v>
      </c>
      <c r="D269" s="5">
        <v>60</v>
      </c>
      <c r="E269" s="5">
        <v>14.499999999999998</v>
      </c>
      <c r="F269" s="5">
        <v>17.5</v>
      </c>
      <c r="G269" s="5">
        <v>8</v>
      </c>
      <c r="H269" s="18">
        <f t="shared" si="21"/>
        <v>100</v>
      </c>
      <c r="K269">
        <f t="shared" si="22"/>
        <v>60</v>
      </c>
      <c r="L269">
        <f t="shared" si="23"/>
        <v>14.499999999999998</v>
      </c>
      <c r="M269">
        <f t="shared" si="24"/>
        <v>17.5</v>
      </c>
      <c r="N269">
        <f t="shared" si="25"/>
        <v>8</v>
      </c>
    </row>
    <row r="270" spans="3:14" x14ac:dyDescent="0.2">
      <c r="C270" s="5">
        <v>0.5</v>
      </c>
      <c r="D270" s="5">
        <v>60</v>
      </c>
      <c r="E270" s="5">
        <v>14.000000000000002</v>
      </c>
      <c r="F270" s="5">
        <v>17.5</v>
      </c>
      <c r="G270" s="5">
        <v>8</v>
      </c>
      <c r="H270" s="18">
        <f t="shared" si="21"/>
        <v>100</v>
      </c>
      <c r="K270">
        <f t="shared" si="22"/>
        <v>60.301507537688437</v>
      </c>
      <c r="L270">
        <f t="shared" si="23"/>
        <v>14.070351758793972</v>
      </c>
      <c r="M270">
        <f t="shared" si="24"/>
        <v>17.587939698492463</v>
      </c>
      <c r="N270">
        <f t="shared" si="25"/>
        <v>8.0402010050251249</v>
      </c>
    </row>
    <row r="271" spans="3:14" x14ac:dyDescent="0.2">
      <c r="C271" s="5">
        <v>46.77338165710259</v>
      </c>
      <c r="D271" s="5">
        <v>15.936776401892679</v>
      </c>
      <c r="E271" s="5">
        <v>22.611497030101681</v>
      </c>
      <c r="F271" s="5">
        <v>12.413168227121716</v>
      </c>
      <c r="G271" s="5">
        <v>2.265176683781335</v>
      </c>
      <c r="H271" s="18">
        <f t="shared" si="21"/>
        <v>100</v>
      </c>
      <c r="K271">
        <f t="shared" si="22"/>
        <v>29.941365613769623</v>
      </c>
      <c r="L271">
        <f t="shared" si="23"/>
        <v>42.481558539814642</v>
      </c>
      <c r="M271">
        <f t="shared" si="24"/>
        <v>23.321354265178744</v>
      </c>
      <c r="N271">
        <f t="shared" si="25"/>
        <v>4.2557215812369966</v>
      </c>
    </row>
    <row r="272" spans="3:14" x14ac:dyDescent="0.2">
      <c r="C272" s="5">
        <v>45.49110284507892</v>
      </c>
      <c r="D272" s="5">
        <v>17.653563888609629</v>
      </c>
      <c r="E272" s="5">
        <v>22.730471498944404</v>
      </c>
      <c r="F272" s="5">
        <v>12.084045440836434</v>
      </c>
      <c r="G272" s="5">
        <v>2.0408163265306123</v>
      </c>
      <c r="H272" s="18">
        <f t="shared" si="21"/>
        <v>100.00000000000001</v>
      </c>
      <c r="K272">
        <f t="shared" si="22"/>
        <v>32.38657322021394</v>
      </c>
      <c r="L272">
        <f t="shared" si="23"/>
        <v>41.700479527849495</v>
      </c>
      <c r="M272">
        <f t="shared" si="24"/>
        <v>22.168941350055331</v>
      </c>
      <c r="N272">
        <f t="shared" si="25"/>
        <v>3.7440059018812248</v>
      </c>
    </row>
    <row r="273" spans="3:14" x14ac:dyDescent="0.2">
      <c r="C273" s="5">
        <v>46.85708538670422</v>
      </c>
      <c r="D273" s="5">
        <v>16.695162425827213</v>
      </c>
      <c r="E273" s="5">
        <v>22.679271849542388</v>
      </c>
      <c r="F273" s="5">
        <v>11.847530926279793</v>
      </c>
      <c r="G273" s="5">
        <v>1.9209494116463843</v>
      </c>
      <c r="H273" s="18">
        <f t="shared" si="21"/>
        <v>100</v>
      </c>
      <c r="K273">
        <f t="shared" si="22"/>
        <v>31.415594246782742</v>
      </c>
      <c r="L273">
        <f t="shared" si="23"/>
        <v>42.676003028009085</v>
      </c>
      <c r="M273">
        <f t="shared" si="24"/>
        <v>22.293716881150644</v>
      </c>
      <c r="N273">
        <f t="shared" si="25"/>
        <v>3.6146858440575325</v>
      </c>
    </row>
    <row r="274" spans="3:14" x14ac:dyDescent="0.2">
      <c r="C274" s="5">
        <v>47.458818802732026</v>
      </c>
      <c r="D274" s="5">
        <v>16.42225793491362</v>
      </c>
      <c r="E274" s="5">
        <v>21.384089995982322</v>
      </c>
      <c r="F274" s="5">
        <v>12.444756930494174</v>
      </c>
      <c r="G274" s="5">
        <v>2.2900763358778624</v>
      </c>
      <c r="H274" s="18">
        <f t="shared" si="21"/>
        <v>100</v>
      </c>
      <c r="K274">
        <f t="shared" si="22"/>
        <v>31.255974001147013</v>
      </c>
      <c r="L274">
        <f t="shared" si="23"/>
        <v>40.699675014337608</v>
      </c>
      <c r="M274">
        <f t="shared" si="24"/>
        <v>23.685719747658194</v>
      </c>
      <c r="N274">
        <f t="shared" si="25"/>
        <v>4.3586312368571978</v>
      </c>
    </row>
    <row r="275" spans="3:14" x14ac:dyDescent="0.2">
      <c r="C275" s="5">
        <v>60.633393465624387</v>
      </c>
      <c r="D275" s="5">
        <v>7.9875726598516748</v>
      </c>
      <c r="E275" s="5">
        <v>20.084185207456407</v>
      </c>
      <c r="F275" s="5">
        <v>10.603327320104231</v>
      </c>
      <c r="G275" s="5">
        <v>0.69152134696331935</v>
      </c>
      <c r="H275" s="18">
        <f t="shared" si="21"/>
        <v>100.00000000000001</v>
      </c>
      <c r="K275">
        <f t="shared" si="22"/>
        <v>20.290224032586558</v>
      </c>
      <c r="L275">
        <f t="shared" si="23"/>
        <v>51.018329938900195</v>
      </c>
      <c r="M275">
        <f t="shared" si="24"/>
        <v>26.934826883910386</v>
      </c>
      <c r="N275">
        <f t="shared" si="25"/>
        <v>1.7566191446028512</v>
      </c>
    </row>
    <row r="276" spans="3:14" x14ac:dyDescent="0.2">
      <c r="C276" s="5">
        <v>66.708104423146324</v>
      </c>
      <c r="D276" s="5">
        <v>5.794602398043069</v>
      </c>
      <c r="E276" s="5">
        <v>12.300998516260977</v>
      </c>
      <c r="F276" s="5">
        <v>14.586758631752014</v>
      </c>
      <c r="G276" s="5">
        <v>0.60953603079760998</v>
      </c>
      <c r="H276" s="18">
        <f t="shared" si="21"/>
        <v>100</v>
      </c>
      <c r="K276">
        <f t="shared" si="22"/>
        <v>17.405444471211759</v>
      </c>
      <c r="L276">
        <f t="shared" si="23"/>
        <v>36.94892796916406</v>
      </c>
      <c r="M276">
        <f t="shared" si="24"/>
        <v>43.814743435316785</v>
      </c>
      <c r="N276">
        <f t="shared" si="25"/>
        <v>1.8308841243073959</v>
      </c>
    </row>
    <row r="277" spans="3:14" x14ac:dyDescent="0.2">
      <c r="C277" s="5">
        <v>45.323813354786815</v>
      </c>
      <c r="D277" s="5">
        <v>17.156074014481096</v>
      </c>
      <c r="E277" s="5">
        <v>21.862429605792439</v>
      </c>
      <c r="F277" s="5">
        <v>13.093322606596944</v>
      </c>
      <c r="G277" s="5">
        <v>2.5643604183427193</v>
      </c>
      <c r="H277" s="18">
        <f t="shared" si="21"/>
        <v>100.00000000000001</v>
      </c>
      <c r="K277">
        <f t="shared" si="22"/>
        <v>31.37759794004047</v>
      </c>
      <c r="L277">
        <f t="shared" si="23"/>
        <v>39.985286003310655</v>
      </c>
      <c r="M277">
        <f t="shared" si="24"/>
        <v>23.947029611918339</v>
      </c>
      <c r="N277">
        <f t="shared" si="25"/>
        <v>4.6900864447305501</v>
      </c>
    </row>
    <row r="278" spans="3:14" x14ac:dyDescent="0.2">
      <c r="C278" s="5">
        <v>51.654964894684049</v>
      </c>
      <c r="D278" s="5">
        <v>17.552657973921765</v>
      </c>
      <c r="E278" s="5">
        <v>19.257773319959878</v>
      </c>
      <c r="F278" s="5">
        <v>10.330992978936811</v>
      </c>
      <c r="G278" s="5">
        <v>1.2036108324974923</v>
      </c>
      <c r="H278" s="18">
        <f t="shared" si="21"/>
        <v>99.999999999999986</v>
      </c>
      <c r="K278">
        <f t="shared" si="22"/>
        <v>36.30705394190872</v>
      </c>
      <c r="L278">
        <f t="shared" si="23"/>
        <v>39.834024896265561</v>
      </c>
      <c r="M278">
        <f t="shared" si="24"/>
        <v>21.369294605809131</v>
      </c>
      <c r="N278">
        <f t="shared" si="25"/>
        <v>2.4896265560165975</v>
      </c>
    </row>
    <row r="279" spans="3:14" x14ac:dyDescent="0.2">
      <c r="C279" s="5">
        <v>50.728277247614258</v>
      </c>
      <c r="D279" s="5">
        <v>18.282270215971874</v>
      </c>
      <c r="E279" s="5">
        <v>18.583626318432948</v>
      </c>
      <c r="F279" s="5">
        <v>11.049723756906078</v>
      </c>
      <c r="G279" s="5">
        <v>1.3561024610748369</v>
      </c>
      <c r="H279" s="18">
        <f t="shared" si="21"/>
        <v>100</v>
      </c>
      <c r="K279">
        <f t="shared" si="22"/>
        <v>37.104994903160041</v>
      </c>
      <c r="L279">
        <f t="shared" si="23"/>
        <v>37.71661569826707</v>
      </c>
      <c r="M279">
        <f t="shared" si="24"/>
        <v>22.426095820591232</v>
      </c>
      <c r="N279">
        <f t="shared" si="25"/>
        <v>2.7522935779816513</v>
      </c>
    </row>
    <row r="280" spans="3:14" x14ac:dyDescent="0.2">
      <c r="C280" s="5">
        <v>52.505010020040075</v>
      </c>
      <c r="D280" s="5">
        <v>17.034068136272541</v>
      </c>
      <c r="E280" s="5">
        <v>18.537074148296593</v>
      </c>
      <c r="F280" s="5">
        <v>10.721442885771541</v>
      </c>
      <c r="G280" s="5">
        <v>1.2024048096192383</v>
      </c>
      <c r="H280" s="18">
        <f t="shared" si="21"/>
        <v>99.999999999999986</v>
      </c>
      <c r="K280">
        <f t="shared" si="22"/>
        <v>35.864978902953588</v>
      </c>
      <c r="L280">
        <f t="shared" si="23"/>
        <v>39.029535864978911</v>
      </c>
      <c r="M280">
        <f t="shared" si="24"/>
        <v>22.573839662447256</v>
      </c>
      <c r="N280">
        <f t="shared" si="25"/>
        <v>2.5316455696202533</v>
      </c>
    </row>
    <row r="281" spans="3:14" x14ac:dyDescent="0.2">
      <c r="C281" s="5">
        <v>51.577366049073618</v>
      </c>
      <c r="D281" s="5">
        <v>17.526289434151227</v>
      </c>
      <c r="E281" s="5">
        <v>18.027040560841261</v>
      </c>
      <c r="F281" s="5">
        <v>11.517275913870808</v>
      </c>
      <c r="G281" s="5">
        <v>1.3520280420630948</v>
      </c>
      <c r="H281" s="18">
        <f t="shared" si="21"/>
        <v>100</v>
      </c>
      <c r="K281">
        <f t="shared" si="22"/>
        <v>36.194415718717678</v>
      </c>
      <c r="L281">
        <f t="shared" si="23"/>
        <v>37.22854188210961</v>
      </c>
      <c r="M281">
        <f t="shared" si="24"/>
        <v>23.784901758014477</v>
      </c>
      <c r="N281">
        <f t="shared" si="25"/>
        <v>2.792140641158221</v>
      </c>
    </row>
    <row r="282" spans="3:14" x14ac:dyDescent="0.2">
      <c r="C282" s="5">
        <v>51.654964894684049</v>
      </c>
      <c r="D282" s="5">
        <v>17.552657973921765</v>
      </c>
      <c r="E282" s="5">
        <v>19.257773319959878</v>
      </c>
      <c r="F282" s="5">
        <v>10.330992978936811</v>
      </c>
      <c r="G282" s="5">
        <v>1.2036108324974923</v>
      </c>
      <c r="H282" s="18">
        <f t="shared" si="21"/>
        <v>99.999999999999986</v>
      </c>
      <c r="K282">
        <f t="shared" si="22"/>
        <v>36.30705394190872</v>
      </c>
      <c r="L282">
        <f t="shared" si="23"/>
        <v>39.834024896265561</v>
      </c>
      <c r="M282">
        <f t="shared" si="24"/>
        <v>21.369294605809131</v>
      </c>
      <c r="N282">
        <f t="shared" si="25"/>
        <v>2.4896265560165975</v>
      </c>
    </row>
    <row r="283" spans="3:14" x14ac:dyDescent="0.2">
      <c r="C283" s="5">
        <v>50.728277247614258</v>
      </c>
      <c r="D283" s="5">
        <v>18.282270215971874</v>
      </c>
      <c r="E283" s="5">
        <v>18.583626318432948</v>
      </c>
      <c r="F283" s="5">
        <v>11.049723756906078</v>
      </c>
      <c r="G283" s="5">
        <v>1.3561024610748369</v>
      </c>
      <c r="H283" s="18">
        <f t="shared" si="21"/>
        <v>100</v>
      </c>
      <c r="K283">
        <f t="shared" si="22"/>
        <v>37.104994903160041</v>
      </c>
      <c r="L283">
        <f t="shared" si="23"/>
        <v>37.71661569826707</v>
      </c>
      <c r="M283">
        <f t="shared" si="24"/>
        <v>22.426095820591232</v>
      </c>
      <c r="N283">
        <f t="shared" si="25"/>
        <v>2.7522935779816513</v>
      </c>
    </row>
    <row r="284" spans="3:14" x14ac:dyDescent="0.2">
      <c r="C284" s="5">
        <v>53.346753900352297</v>
      </c>
      <c r="D284" s="5">
        <v>16.607951685958732</v>
      </c>
      <c r="E284" s="5">
        <v>17.614494212380475</v>
      </c>
      <c r="F284" s="5">
        <v>11.575239053850025</v>
      </c>
      <c r="G284" s="5">
        <v>0.85556114745848011</v>
      </c>
      <c r="H284" s="18">
        <f t="shared" si="21"/>
        <v>100.00000000000001</v>
      </c>
      <c r="K284">
        <f t="shared" si="22"/>
        <v>35.59870550161812</v>
      </c>
      <c r="L284">
        <f t="shared" si="23"/>
        <v>37.756202804746493</v>
      </c>
      <c r="M284">
        <f t="shared" si="24"/>
        <v>24.811218985976264</v>
      </c>
      <c r="N284">
        <f t="shared" si="25"/>
        <v>1.8338727076591153</v>
      </c>
    </row>
    <row r="285" spans="3:14" x14ac:dyDescent="0.2">
      <c r="C285" s="5">
        <v>52.790346907993971</v>
      </c>
      <c r="D285" s="5">
        <v>17.094017094017094</v>
      </c>
      <c r="E285" s="5">
        <v>17.094017094017094</v>
      </c>
      <c r="F285" s="5">
        <v>12.066365007541478</v>
      </c>
      <c r="G285" s="5">
        <v>0.95525389643036696</v>
      </c>
      <c r="H285" s="18">
        <f t="shared" si="21"/>
        <v>100</v>
      </c>
      <c r="K285">
        <f t="shared" si="22"/>
        <v>36.208732694355703</v>
      </c>
      <c r="L285">
        <f t="shared" si="23"/>
        <v>36.208732694355703</v>
      </c>
      <c r="M285">
        <f t="shared" si="24"/>
        <v>25.559105431309909</v>
      </c>
      <c r="N285">
        <f t="shared" si="25"/>
        <v>2.023429179978701</v>
      </c>
    </row>
    <row r="286" spans="3:14" x14ac:dyDescent="0.2">
      <c r="C286" s="5">
        <v>49.346733668341706</v>
      </c>
      <c r="D286" s="5">
        <v>18.090452261306535</v>
      </c>
      <c r="E286" s="5">
        <v>20.30150753768844</v>
      </c>
      <c r="F286" s="5">
        <v>11.055276381909549</v>
      </c>
      <c r="G286" s="5">
        <v>1.2060301507537687</v>
      </c>
      <c r="H286" s="18">
        <f t="shared" si="21"/>
        <v>100</v>
      </c>
      <c r="K286">
        <f t="shared" si="22"/>
        <v>35.714285714285715</v>
      </c>
      <c r="L286">
        <f t="shared" si="23"/>
        <v>40.079365079365076</v>
      </c>
      <c r="M286">
        <f t="shared" si="24"/>
        <v>21.825396825396826</v>
      </c>
      <c r="N286">
        <f t="shared" si="25"/>
        <v>2.3809523809523805</v>
      </c>
    </row>
    <row r="287" spans="3:14" x14ac:dyDescent="0.2">
      <c r="C287" s="5">
        <v>49.096385542168669</v>
      </c>
      <c r="D287" s="5">
        <v>19.076305220883533</v>
      </c>
      <c r="E287" s="5">
        <v>19.076305220883533</v>
      </c>
      <c r="F287" s="5">
        <v>11.445783132530121</v>
      </c>
      <c r="G287" s="5">
        <v>1.3052208835341366</v>
      </c>
      <c r="H287" s="18">
        <f t="shared" si="21"/>
        <v>100</v>
      </c>
      <c r="K287">
        <f t="shared" si="22"/>
        <v>37.475345167652854</v>
      </c>
      <c r="L287">
        <f t="shared" si="23"/>
        <v>37.475345167652854</v>
      </c>
      <c r="M287">
        <f t="shared" si="24"/>
        <v>22.485207100591715</v>
      </c>
      <c r="N287">
        <f t="shared" si="25"/>
        <v>2.5641025641025643</v>
      </c>
    </row>
    <row r="288" spans="3:14" x14ac:dyDescent="0.2">
      <c r="C288" s="5">
        <v>0</v>
      </c>
      <c r="D288" s="5">
        <v>52.820512820512825</v>
      </c>
      <c r="E288" s="5">
        <v>22.564102564102566</v>
      </c>
      <c r="F288" s="5">
        <v>17.435897435897434</v>
      </c>
      <c r="G288" s="5">
        <v>7.1794871794871788</v>
      </c>
      <c r="H288" s="18">
        <f t="shared" si="21"/>
        <v>100</v>
      </c>
      <c r="K288">
        <f t="shared" si="22"/>
        <v>52.820512820512825</v>
      </c>
      <c r="L288">
        <f t="shared" si="23"/>
        <v>22.564102564102566</v>
      </c>
      <c r="M288">
        <f t="shared" si="24"/>
        <v>17.435897435897434</v>
      </c>
      <c r="N288">
        <f t="shared" si="25"/>
        <v>7.1794871794871788</v>
      </c>
    </row>
    <row r="289" spans="3:14" x14ac:dyDescent="0.2">
      <c r="C289" s="5">
        <v>0</v>
      </c>
      <c r="D289" s="5">
        <v>57.291666666666664</v>
      </c>
      <c r="E289" s="5">
        <v>20.833333333333336</v>
      </c>
      <c r="F289" s="5">
        <v>15.625</v>
      </c>
      <c r="G289" s="5">
        <v>6.25</v>
      </c>
      <c r="H289" s="18">
        <f t="shared" si="21"/>
        <v>100</v>
      </c>
      <c r="K289">
        <f t="shared" si="22"/>
        <v>57.291666666666664</v>
      </c>
      <c r="L289">
        <f t="shared" si="23"/>
        <v>20.833333333333336</v>
      </c>
      <c r="M289">
        <f t="shared" si="24"/>
        <v>15.625</v>
      </c>
      <c r="N289">
        <f t="shared" si="25"/>
        <v>6.25</v>
      </c>
    </row>
    <row r="290" spans="3:14" x14ac:dyDescent="0.2">
      <c r="C290" s="5">
        <v>0</v>
      </c>
      <c r="D290" s="5">
        <v>58.974358974358978</v>
      </c>
      <c r="E290" s="5">
        <v>22.564102564102566</v>
      </c>
      <c r="F290" s="5">
        <v>12.307692307692308</v>
      </c>
      <c r="G290" s="5">
        <v>6.1538461538461542</v>
      </c>
      <c r="H290" s="18">
        <f t="shared" si="21"/>
        <v>100.00000000000001</v>
      </c>
      <c r="K290">
        <f t="shared" si="22"/>
        <v>58.974358974358964</v>
      </c>
      <c r="L290">
        <f t="shared" si="23"/>
        <v>22.564102564102562</v>
      </c>
      <c r="M290">
        <f t="shared" si="24"/>
        <v>12.307692307692307</v>
      </c>
      <c r="N290">
        <f t="shared" si="25"/>
        <v>6.1538461538461533</v>
      </c>
    </row>
    <row r="291" spans="3:14" x14ac:dyDescent="0.2">
      <c r="C291" s="5">
        <v>0</v>
      </c>
      <c r="D291" s="5">
        <v>52.0618556701031</v>
      </c>
      <c r="E291" s="5">
        <v>28.350515463917525</v>
      </c>
      <c r="F291" s="5">
        <v>11.340206185567011</v>
      </c>
      <c r="G291" s="5">
        <v>8.2474226804123703</v>
      </c>
      <c r="H291" s="18">
        <f t="shared" si="21"/>
        <v>100</v>
      </c>
      <c r="K291">
        <f t="shared" si="22"/>
        <v>52.0618556701031</v>
      </c>
      <c r="L291">
        <f t="shared" si="23"/>
        <v>28.350515463917525</v>
      </c>
      <c r="M291">
        <f t="shared" si="24"/>
        <v>11.340206185567011</v>
      </c>
      <c r="N291">
        <f t="shared" si="25"/>
        <v>8.2474226804123703</v>
      </c>
    </row>
    <row r="292" spans="3:14" x14ac:dyDescent="0.2">
      <c r="C292" s="5">
        <v>0</v>
      </c>
      <c r="D292" s="5">
        <v>52.551020408163261</v>
      </c>
      <c r="E292" s="5">
        <v>22.448979591836736</v>
      </c>
      <c r="F292" s="5">
        <v>18.877551020408163</v>
      </c>
      <c r="G292" s="5">
        <v>6.1224489795918364</v>
      </c>
      <c r="H292" s="18">
        <f t="shared" si="21"/>
        <v>100</v>
      </c>
      <c r="K292">
        <f t="shared" si="22"/>
        <v>52.551020408163261</v>
      </c>
      <c r="L292">
        <f t="shared" si="23"/>
        <v>22.448979591836736</v>
      </c>
      <c r="M292">
        <f t="shared" si="24"/>
        <v>18.877551020408163</v>
      </c>
      <c r="N292">
        <f t="shared" si="25"/>
        <v>6.1224489795918364</v>
      </c>
    </row>
    <row r="293" spans="3:14" x14ac:dyDescent="0.2">
      <c r="C293" s="5">
        <v>0</v>
      </c>
      <c r="D293" s="5">
        <v>51.308900523560212</v>
      </c>
      <c r="E293" s="5">
        <v>24.083769633507853</v>
      </c>
      <c r="F293" s="5">
        <v>18.32460732984293</v>
      </c>
      <c r="G293" s="5">
        <v>6.2827225130890048</v>
      </c>
      <c r="H293" s="18">
        <f t="shared" si="21"/>
        <v>100</v>
      </c>
      <c r="K293">
        <f t="shared" si="22"/>
        <v>51.308900523560212</v>
      </c>
      <c r="L293">
        <f t="shared" si="23"/>
        <v>24.083769633507853</v>
      </c>
      <c r="M293">
        <f t="shared" si="24"/>
        <v>18.32460732984293</v>
      </c>
      <c r="N293">
        <f t="shared" si="25"/>
        <v>6.2827225130890048</v>
      </c>
    </row>
    <row r="294" spans="3:14" x14ac:dyDescent="0.2">
      <c r="C294" s="5">
        <v>0</v>
      </c>
      <c r="D294" s="5">
        <v>46.315789473684212</v>
      </c>
      <c r="E294" s="5">
        <v>28.947368421052634</v>
      </c>
      <c r="F294" s="5">
        <v>16.842105263157894</v>
      </c>
      <c r="G294" s="5">
        <v>7.8947368421052628</v>
      </c>
      <c r="H294" s="18">
        <f t="shared" si="21"/>
        <v>100</v>
      </c>
      <c r="K294">
        <f t="shared" si="22"/>
        <v>46.315789473684212</v>
      </c>
      <c r="L294">
        <f t="shared" si="23"/>
        <v>28.947368421052634</v>
      </c>
      <c r="M294">
        <f t="shared" si="24"/>
        <v>16.842105263157894</v>
      </c>
      <c r="N294">
        <f t="shared" si="25"/>
        <v>7.8947368421052628</v>
      </c>
    </row>
    <row r="295" spans="3:14" x14ac:dyDescent="0.2">
      <c r="C295" s="5">
        <v>0</v>
      </c>
      <c r="D295" s="5">
        <v>38.541666666666671</v>
      </c>
      <c r="E295" s="5">
        <v>35.416666666666671</v>
      </c>
      <c r="F295" s="5">
        <v>17.1875</v>
      </c>
      <c r="G295" s="5">
        <v>8.8541666666666679</v>
      </c>
      <c r="H295" s="18">
        <f t="shared" si="21"/>
        <v>100.00000000000001</v>
      </c>
      <c r="K295">
        <f t="shared" si="22"/>
        <v>38.541666666666671</v>
      </c>
      <c r="L295">
        <f t="shared" si="23"/>
        <v>35.416666666666671</v>
      </c>
      <c r="M295">
        <f t="shared" si="24"/>
        <v>17.187499999999996</v>
      </c>
      <c r="N295">
        <f t="shared" si="25"/>
        <v>8.8541666666666679</v>
      </c>
    </row>
    <row r="296" spans="3:14" x14ac:dyDescent="0.2">
      <c r="C296" s="5">
        <v>0</v>
      </c>
      <c r="D296" s="5">
        <v>52.820512820512825</v>
      </c>
      <c r="E296" s="5">
        <v>22.564102564102566</v>
      </c>
      <c r="F296" s="5">
        <v>17.435897435897434</v>
      </c>
      <c r="G296" s="5">
        <v>7.1794871794871788</v>
      </c>
      <c r="H296" s="18">
        <f t="shared" si="21"/>
        <v>100</v>
      </c>
      <c r="K296">
        <f t="shared" si="22"/>
        <v>52.820512820512825</v>
      </c>
      <c r="L296">
        <f t="shared" si="23"/>
        <v>22.564102564102566</v>
      </c>
      <c r="M296">
        <f t="shared" si="24"/>
        <v>17.435897435897434</v>
      </c>
      <c r="N296">
        <f t="shared" si="25"/>
        <v>7.1794871794871788</v>
      </c>
    </row>
    <row r="297" spans="3:14" x14ac:dyDescent="0.2">
      <c r="C297" s="5">
        <v>0</v>
      </c>
      <c r="D297" s="5">
        <v>52.820512820512825</v>
      </c>
      <c r="E297" s="5">
        <v>22.564102564102566</v>
      </c>
      <c r="F297" s="5">
        <v>18.461538461538463</v>
      </c>
      <c r="G297" s="5">
        <v>6.1538461538461542</v>
      </c>
      <c r="H297" s="18">
        <f t="shared" si="21"/>
        <v>100.00000000000001</v>
      </c>
      <c r="K297">
        <f t="shared" si="22"/>
        <v>52.820512820512825</v>
      </c>
      <c r="L297">
        <f t="shared" si="23"/>
        <v>22.564102564102562</v>
      </c>
      <c r="M297">
        <f t="shared" si="24"/>
        <v>18.46153846153846</v>
      </c>
      <c r="N297">
        <f t="shared" si="25"/>
        <v>6.1538461538461533</v>
      </c>
    </row>
    <row r="298" spans="3:14" x14ac:dyDescent="0.2">
      <c r="C298" s="5">
        <v>0</v>
      </c>
      <c r="D298" s="5">
        <v>47.916666666666671</v>
      </c>
      <c r="E298" s="5">
        <v>20.833333333333336</v>
      </c>
      <c r="F298" s="5">
        <v>21.875</v>
      </c>
      <c r="G298" s="5">
        <v>9.375</v>
      </c>
      <c r="H298" s="18">
        <f t="shared" si="21"/>
        <v>100</v>
      </c>
      <c r="K298">
        <f t="shared" si="22"/>
        <v>47.916666666666671</v>
      </c>
      <c r="L298">
        <f t="shared" si="23"/>
        <v>20.833333333333336</v>
      </c>
      <c r="M298">
        <f t="shared" si="24"/>
        <v>21.875</v>
      </c>
      <c r="N298">
        <f t="shared" si="25"/>
        <v>9.375</v>
      </c>
    </row>
    <row r="299" spans="3:14" x14ac:dyDescent="0.2">
      <c r="C299" s="5">
        <v>0</v>
      </c>
      <c r="D299" s="5">
        <v>40.211640211640209</v>
      </c>
      <c r="E299" s="5">
        <v>29.100529100529098</v>
      </c>
      <c r="F299" s="5">
        <v>21.164021164021165</v>
      </c>
      <c r="G299" s="5">
        <v>9.5238095238095237</v>
      </c>
      <c r="H299" s="18">
        <f t="shared" si="21"/>
        <v>99.999999999999986</v>
      </c>
      <c r="K299">
        <f t="shared" si="22"/>
        <v>40.211640211640216</v>
      </c>
      <c r="L299">
        <f t="shared" si="23"/>
        <v>29.100529100529105</v>
      </c>
      <c r="M299">
        <f t="shared" si="24"/>
        <v>21.164021164021168</v>
      </c>
      <c r="N299">
        <f t="shared" si="25"/>
        <v>9.5238095238095255</v>
      </c>
    </row>
    <row r="300" spans="3:14" x14ac:dyDescent="0.2">
      <c r="C300" s="5">
        <v>0</v>
      </c>
      <c r="D300" s="5">
        <v>52.020202020202021</v>
      </c>
      <c r="E300" s="5">
        <v>22.222222222222221</v>
      </c>
      <c r="F300" s="5">
        <v>18.686868686868689</v>
      </c>
      <c r="G300" s="5">
        <v>7.0707070707070701</v>
      </c>
      <c r="H300" s="18">
        <f t="shared" si="21"/>
        <v>100.00000000000001</v>
      </c>
      <c r="K300">
        <f t="shared" si="22"/>
        <v>52.020202020202014</v>
      </c>
      <c r="L300">
        <f t="shared" si="23"/>
        <v>22.222222222222218</v>
      </c>
      <c r="M300">
        <f t="shared" si="24"/>
        <v>18.686868686868685</v>
      </c>
      <c r="N300">
        <f t="shared" si="25"/>
        <v>7.0707070707070692</v>
      </c>
    </row>
    <row r="301" spans="3:14" x14ac:dyDescent="0.2">
      <c r="C301" s="5">
        <v>0</v>
      </c>
      <c r="D301" s="5">
        <v>55.497382198952884</v>
      </c>
      <c r="E301" s="5">
        <v>18.848167539267017</v>
      </c>
      <c r="F301" s="5">
        <v>19.3717277486911</v>
      </c>
      <c r="G301" s="5">
        <v>6.2827225130890048</v>
      </c>
      <c r="H301" s="18">
        <f t="shared" si="21"/>
        <v>100</v>
      </c>
      <c r="K301">
        <f t="shared" si="22"/>
        <v>55.497382198952884</v>
      </c>
      <c r="L301">
        <f t="shared" si="23"/>
        <v>18.848167539267017</v>
      </c>
      <c r="M301">
        <f t="shared" si="24"/>
        <v>19.3717277486911</v>
      </c>
      <c r="N301">
        <f t="shared" si="25"/>
        <v>6.2827225130890048</v>
      </c>
    </row>
    <row r="302" spans="3:14" x14ac:dyDescent="0.2">
      <c r="C302" s="5">
        <v>0</v>
      </c>
      <c r="D302" s="5">
        <v>54.358974358974358</v>
      </c>
      <c r="E302" s="5">
        <v>17.948717948717949</v>
      </c>
      <c r="F302" s="5">
        <v>18.461538461538463</v>
      </c>
      <c r="G302" s="5">
        <v>9.2307692307692317</v>
      </c>
      <c r="H302" s="18">
        <f t="shared" si="21"/>
        <v>100</v>
      </c>
      <c r="K302">
        <f t="shared" si="22"/>
        <v>54.358974358974358</v>
      </c>
      <c r="L302">
        <f t="shared" si="23"/>
        <v>17.948717948717949</v>
      </c>
      <c r="M302">
        <f t="shared" si="24"/>
        <v>18.461538461538463</v>
      </c>
      <c r="N302">
        <f t="shared" si="25"/>
        <v>9.2307692307692317</v>
      </c>
    </row>
    <row r="303" spans="3:14" x14ac:dyDescent="0.2">
      <c r="C303" s="5">
        <v>0</v>
      </c>
      <c r="D303" s="5">
        <v>43.005181347150256</v>
      </c>
      <c r="E303" s="5">
        <v>25.388601036269431</v>
      </c>
      <c r="F303" s="5">
        <v>22.279792746113987</v>
      </c>
      <c r="G303" s="5">
        <v>9.3264248704663206</v>
      </c>
      <c r="H303" s="18">
        <f t="shared" si="21"/>
        <v>100</v>
      </c>
      <c r="K303">
        <f t="shared" si="22"/>
        <v>43.005181347150256</v>
      </c>
      <c r="L303">
        <f t="shared" si="23"/>
        <v>25.388601036269431</v>
      </c>
      <c r="M303">
        <f t="shared" si="24"/>
        <v>22.279792746113987</v>
      </c>
      <c r="N303">
        <f t="shared" si="25"/>
        <v>9.3264248704663206</v>
      </c>
    </row>
    <row r="304" spans="3:14" x14ac:dyDescent="0.2">
      <c r="C304" s="5">
        <v>0</v>
      </c>
      <c r="D304" s="5">
        <v>51</v>
      </c>
      <c r="E304" s="5">
        <v>19</v>
      </c>
      <c r="F304" s="5">
        <v>17</v>
      </c>
      <c r="G304" s="5">
        <v>13</v>
      </c>
      <c r="H304" s="18">
        <f t="shared" si="21"/>
        <v>100</v>
      </c>
      <c r="K304">
        <f t="shared" si="22"/>
        <v>51</v>
      </c>
      <c r="L304">
        <f t="shared" si="23"/>
        <v>19</v>
      </c>
      <c r="M304">
        <f t="shared" si="24"/>
        <v>17</v>
      </c>
      <c r="N304">
        <f t="shared" si="25"/>
        <v>13</v>
      </c>
    </row>
    <row r="305" spans="3:14" x14ac:dyDescent="0.2">
      <c r="C305" s="16">
        <v>0</v>
      </c>
      <c r="D305" s="16">
        <v>100</v>
      </c>
      <c r="E305" s="16">
        <v>0</v>
      </c>
      <c r="F305" s="16">
        <v>0</v>
      </c>
      <c r="G305" s="16">
        <v>0</v>
      </c>
      <c r="H305" s="18">
        <f t="shared" si="21"/>
        <v>100</v>
      </c>
      <c r="K305">
        <f t="shared" si="22"/>
        <v>100</v>
      </c>
      <c r="L305">
        <f t="shared" si="23"/>
        <v>0</v>
      </c>
      <c r="M305">
        <f t="shared" si="24"/>
        <v>0</v>
      </c>
      <c r="N305">
        <f t="shared" si="25"/>
        <v>0</v>
      </c>
    </row>
    <row r="306" spans="3:14" x14ac:dyDescent="0.2">
      <c r="C306" s="16">
        <v>0</v>
      </c>
      <c r="D306" s="16">
        <v>100</v>
      </c>
      <c r="E306" s="16">
        <v>0</v>
      </c>
      <c r="F306" s="16">
        <v>0</v>
      </c>
      <c r="G306" s="16">
        <v>0</v>
      </c>
      <c r="H306" s="18">
        <f t="shared" si="21"/>
        <v>100</v>
      </c>
      <c r="K306">
        <f t="shared" si="22"/>
        <v>100</v>
      </c>
      <c r="L306">
        <f t="shared" si="23"/>
        <v>0</v>
      </c>
      <c r="M306">
        <f t="shared" si="24"/>
        <v>0</v>
      </c>
      <c r="N306">
        <f t="shared" si="25"/>
        <v>0</v>
      </c>
    </row>
    <row r="307" spans="3:14" x14ac:dyDescent="0.2">
      <c r="C307" s="16">
        <v>0</v>
      </c>
      <c r="D307" s="16">
        <v>100</v>
      </c>
      <c r="E307" s="16">
        <v>0</v>
      </c>
      <c r="F307" s="16">
        <v>0</v>
      </c>
      <c r="G307" s="16">
        <v>0</v>
      </c>
      <c r="H307" s="18">
        <f t="shared" si="21"/>
        <v>100</v>
      </c>
      <c r="K307">
        <f t="shared" si="22"/>
        <v>100</v>
      </c>
      <c r="L307">
        <f t="shared" si="23"/>
        <v>0</v>
      </c>
      <c r="M307">
        <f t="shared" si="24"/>
        <v>0</v>
      </c>
      <c r="N307">
        <f t="shared" si="25"/>
        <v>0</v>
      </c>
    </row>
    <row r="308" spans="3:14" x14ac:dyDescent="0.2">
      <c r="C308" s="5">
        <v>0</v>
      </c>
      <c r="D308" s="5">
        <v>23.560209424083769</v>
      </c>
      <c r="E308" s="5">
        <v>42.408376963350783</v>
      </c>
      <c r="F308" s="5">
        <v>19.3717277486911</v>
      </c>
      <c r="G308" s="5">
        <v>14.659685863874344</v>
      </c>
      <c r="H308" s="18">
        <f t="shared" si="21"/>
        <v>100</v>
      </c>
      <c r="K308">
        <f t="shared" si="22"/>
        <v>23.560209424083769</v>
      </c>
      <c r="L308">
        <f t="shared" si="23"/>
        <v>42.408376963350783</v>
      </c>
      <c r="M308">
        <f t="shared" si="24"/>
        <v>19.3717277486911</v>
      </c>
      <c r="N308">
        <f t="shared" si="25"/>
        <v>14.659685863874344</v>
      </c>
    </row>
    <row r="309" spans="3:14" x14ac:dyDescent="0.2">
      <c r="C309" s="5">
        <v>0</v>
      </c>
      <c r="D309" s="5">
        <v>26.315789473684209</v>
      </c>
      <c r="E309" s="5">
        <v>42.105263157894733</v>
      </c>
      <c r="F309" s="5">
        <v>16.842105263157894</v>
      </c>
      <c r="G309" s="5">
        <v>14.736842105263156</v>
      </c>
      <c r="H309" s="18">
        <f t="shared" si="21"/>
        <v>99.999999999999986</v>
      </c>
      <c r="K309">
        <f t="shared" si="22"/>
        <v>26.315789473684216</v>
      </c>
      <c r="L309">
        <f t="shared" si="23"/>
        <v>42.10526315789474</v>
      </c>
      <c r="M309">
        <f t="shared" si="24"/>
        <v>16.842105263157897</v>
      </c>
      <c r="N309">
        <f t="shared" si="25"/>
        <v>14.736842105263156</v>
      </c>
    </row>
    <row r="310" spans="3:14" x14ac:dyDescent="0.2">
      <c r="C310" s="5">
        <v>0</v>
      </c>
      <c r="D310" s="5">
        <v>26.984126984126984</v>
      </c>
      <c r="E310" s="5">
        <v>44.973544973544968</v>
      </c>
      <c r="F310" s="5">
        <v>13.756613756613756</v>
      </c>
      <c r="G310" s="5">
        <v>14.285714285714285</v>
      </c>
      <c r="H310" s="18">
        <f t="shared" si="21"/>
        <v>100</v>
      </c>
      <c r="K310">
        <f t="shared" si="22"/>
        <v>26.984126984126984</v>
      </c>
      <c r="L310">
        <f t="shared" si="23"/>
        <v>44.973544973544968</v>
      </c>
      <c r="M310">
        <f t="shared" si="24"/>
        <v>13.756613756613756</v>
      </c>
      <c r="N310">
        <f t="shared" si="25"/>
        <v>14.285714285714285</v>
      </c>
    </row>
    <row r="311" spans="3:14" x14ac:dyDescent="0.2">
      <c r="C311" s="5">
        <v>0</v>
      </c>
      <c r="D311" s="5">
        <v>41.056910569105689</v>
      </c>
      <c r="E311" s="5">
        <v>24.491869918699187</v>
      </c>
      <c r="F311" s="5">
        <v>22.052845528455283</v>
      </c>
      <c r="G311" s="5">
        <v>12.398373983739836</v>
      </c>
      <c r="H311" s="18">
        <f t="shared" si="21"/>
        <v>99.999999999999986</v>
      </c>
      <c r="K311">
        <f t="shared" si="22"/>
        <v>41.056910569105689</v>
      </c>
      <c r="L311">
        <f t="shared" si="23"/>
        <v>24.491869918699191</v>
      </c>
      <c r="M311">
        <f t="shared" si="24"/>
        <v>22.052845528455286</v>
      </c>
      <c r="N311">
        <f t="shared" si="25"/>
        <v>12.398373983739837</v>
      </c>
    </row>
    <row r="312" spans="3:14" x14ac:dyDescent="0.2">
      <c r="C312" s="5">
        <v>0</v>
      </c>
      <c r="D312" s="5">
        <v>40.493319630010276</v>
      </c>
      <c r="E312" s="5">
        <v>24.152106885919835</v>
      </c>
      <c r="F312" s="5">
        <v>23.741007194244606</v>
      </c>
      <c r="G312" s="5">
        <v>11.613566289825282</v>
      </c>
      <c r="H312" s="18">
        <f t="shared" si="21"/>
        <v>100</v>
      </c>
      <c r="K312">
        <f t="shared" si="22"/>
        <v>40.493319630010276</v>
      </c>
      <c r="L312">
        <f t="shared" si="23"/>
        <v>24.152106885919835</v>
      </c>
      <c r="M312">
        <f t="shared" si="24"/>
        <v>23.741007194244606</v>
      </c>
      <c r="N312">
        <f t="shared" si="25"/>
        <v>11.613566289825282</v>
      </c>
    </row>
    <row r="313" spans="3:14" x14ac:dyDescent="0.2">
      <c r="C313" s="5">
        <v>0</v>
      </c>
      <c r="D313" s="5">
        <v>52.304609218436873</v>
      </c>
      <c r="E313" s="5">
        <v>22.14428857715431</v>
      </c>
      <c r="F313" s="5">
        <v>19.539078156312623</v>
      </c>
      <c r="G313" s="5">
        <v>6.0120240480961913</v>
      </c>
      <c r="H313" s="18">
        <f t="shared" si="21"/>
        <v>100</v>
      </c>
      <c r="K313">
        <f t="shared" si="22"/>
        <v>52.304609218436873</v>
      </c>
      <c r="L313">
        <f t="shared" si="23"/>
        <v>22.14428857715431</v>
      </c>
      <c r="M313">
        <f t="shared" si="24"/>
        <v>19.539078156312623</v>
      </c>
      <c r="N313">
        <f t="shared" si="25"/>
        <v>6.0120240480961913</v>
      </c>
    </row>
    <row r="314" spans="3:14" x14ac:dyDescent="0.2">
      <c r="C314" s="5">
        <v>0</v>
      </c>
      <c r="D314" s="5">
        <v>26.43</v>
      </c>
      <c r="E314" s="5">
        <v>18.539999999999996</v>
      </c>
      <c r="F314" s="5">
        <v>34.270000000000003</v>
      </c>
      <c r="G314" s="5">
        <v>20.759999999999998</v>
      </c>
      <c r="H314" s="18">
        <f t="shared" si="21"/>
        <v>100</v>
      </c>
      <c r="K314">
        <f t="shared" si="22"/>
        <v>26.43</v>
      </c>
      <c r="L314">
        <f t="shared" si="23"/>
        <v>18.539999999999996</v>
      </c>
      <c r="M314">
        <f t="shared" si="24"/>
        <v>34.270000000000003</v>
      </c>
      <c r="N314">
        <f t="shared" si="25"/>
        <v>20.759999999999998</v>
      </c>
    </row>
    <row r="315" spans="3:14" x14ac:dyDescent="0.2">
      <c r="C315" s="5">
        <v>0</v>
      </c>
      <c r="D315" s="5">
        <v>28.839999999999993</v>
      </c>
      <c r="E315" s="5">
        <v>17.829999999999995</v>
      </c>
      <c r="F315" s="5">
        <v>33.129999999999995</v>
      </c>
      <c r="G315" s="5">
        <v>20.200000000000003</v>
      </c>
      <c r="H315" s="18">
        <f t="shared" si="21"/>
        <v>99.999999999999986</v>
      </c>
      <c r="K315">
        <f t="shared" si="22"/>
        <v>28.84</v>
      </c>
      <c r="L315">
        <f t="shared" si="23"/>
        <v>17.829999999999998</v>
      </c>
      <c r="M315">
        <f t="shared" si="24"/>
        <v>33.129999999999995</v>
      </c>
      <c r="N315">
        <f t="shared" si="25"/>
        <v>20.200000000000006</v>
      </c>
    </row>
    <row r="316" spans="3:14" x14ac:dyDescent="0.2">
      <c r="C316" s="5">
        <v>0</v>
      </c>
      <c r="D316" s="5">
        <v>28.559999999999995</v>
      </c>
      <c r="E316" s="5">
        <v>19.120000000000005</v>
      </c>
      <c r="F316" s="5">
        <v>31.210000000000004</v>
      </c>
      <c r="G316" s="5">
        <v>21.110000000000003</v>
      </c>
      <c r="H316" s="18">
        <f t="shared" si="21"/>
        <v>100</v>
      </c>
      <c r="K316">
        <f t="shared" si="22"/>
        <v>28.559999999999995</v>
      </c>
      <c r="L316">
        <f t="shared" si="23"/>
        <v>19.120000000000005</v>
      </c>
      <c r="M316">
        <f t="shared" si="24"/>
        <v>31.210000000000004</v>
      </c>
      <c r="N316">
        <f t="shared" si="25"/>
        <v>21.110000000000003</v>
      </c>
    </row>
    <row r="317" spans="3:14" x14ac:dyDescent="0.2">
      <c r="C317" s="5">
        <v>0</v>
      </c>
      <c r="D317" s="5">
        <v>32.26</v>
      </c>
      <c r="E317" s="5">
        <v>19.21</v>
      </c>
      <c r="F317" s="5">
        <v>28.32</v>
      </c>
      <c r="G317" s="5">
        <v>20.21</v>
      </c>
      <c r="H317" s="18">
        <f t="shared" si="21"/>
        <v>100</v>
      </c>
      <c r="K317">
        <f t="shared" si="22"/>
        <v>32.26</v>
      </c>
      <c r="L317">
        <f t="shared" si="23"/>
        <v>19.21</v>
      </c>
      <c r="M317">
        <f t="shared" si="24"/>
        <v>28.32</v>
      </c>
      <c r="N317">
        <f t="shared" si="25"/>
        <v>20.21</v>
      </c>
    </row>
    <row r="318" spans="3:14" x14ac:dyDescent="0.2">
      <c r="C318" s="5">
        <v>0</v>
      </c>
      <c r="D318" s="5">
        <v>33.53</v>
      </c>
      <c r="E318" s="5">
        <v>15.58</v>
      </c>
      <c r="F318" s="5">
        <v>30.510000000000005</v>
      </c>
      <c r="G318" s="5">
        <v>20.38</v>
      </c>
      <c r="H318" s="18">
        <f t="shared" si="21"/>
        <v>100</v>
      </c>
      <c r="K318">
        <f t="shared" si="22"/>
        <v>33.53</v>
      </c>
      <c r="L318">
        <f t="shared" si="23"/>
        <v>15.58</v>
      </c>
      <c r="M318">
        <f t="shared" si="24"/>
        <v>30.510000000000005</v>
      </c>
      <c r="N318">
        <f t="shared" si="25"/>
        <v>20.38</v>
      </c>
    </row>
    <row r="319" spans="3:14" x14ac:dyDescent="0.2">
      <c r="C319" s="5">
        <v>0</v>
      </c>
      <c r="D319" s="5">
        <v>33.839999999999996</v>
      </c>
      <c r="E319" s="5">
        <v>13.779999999999998</v>
      </c>
      <c r="F319" s="5">
        <v>30.259999999999998</v>
      </c>
      <c r="G319" s="5">
        <v>22.119999999999997</v>
      </c>
      <c r="H319" s="18">
        <f t="shared" si="21"/>
        <v>100</v>
      </c>
      <c r="K319">
        <f t="shared" si="22"/>
        <v>33.839999999999996</v>
      </c>
      <c r="L319">
        <f t="shared" si="23"/>
        <v>13.779999999999998</v>
      </c>
      <c r="M319">
        <f t="shared" si="24"/>
        <v>30.259999999999998</v>
      </c>
      <c r="N319">
        <f t="shared" si="25"/>
        <v>22.119999999999997</v>
      </c>
    </row>
    <row r="320" spans="3:14" x14ac:dyDescent="0.2">
      <c r="C320" s="5">
        <v>0</v>
      </c>
      <c r="D320" s="5">
        <v>39.799999999999997</v>
      </c>
      <c r="E320" s="5">
        <v>11.41</v>
      </c>
      <c r="F320" s="5">
        <v>30.329999999999995</v>
      </c>
      <c r="G320" s="5">
        <v>18.46</v>
      </c>
      <c r="H320" s="18">
        <f t="shared" si="21"/>
        <v>100</v>
      </c>
      <c r="K320">
        <f t="shared" si="22"/>
        <v>39.799999999999997</v>
      </c>
      <c r="L320">
        <f t="shared" si="23"/>
        <v>11.41</v>
      </c>
      <c r="M320">
        <f t="shared" si="24"/>
        <v>30.329999999999995</v>
      </c>
      <c r="N320">
        <f t="shared" si="25"/>
        <v>18.46</v>
      </c>
    </row>
    <row r="321" spans="3:14" x14ac:dyDescent="0.2">
      <c r="C321" s="5">
        <v>0</v>
      </c>
      <c r="D321" s="5">
        <v>42.88</v>
      </c>
      <c r="E321" s="5">
        <v>10.76</v>
      </c>
      <c r="F321" s="5">
        <v>30.879999999999995</v>
      </c>
      <c r="G321" s="5">
        <v>15.479999999999999</v>
      </c>
      <c r="H321" s="18">
        <f t="shared" si="21"/>
        <v>100</v>
      </c>
      <c r="K321">
        <f t="shared" si="22"/>
        <v>42.88</v>
      </c>
      <c r="L321">
        <f t="shared" si="23"/>
        <v>10.76</v>
      </c>
      <c r="M321">
        <f t="shared" si="24"/>
        <v>30.879999999999995</v>
      </c>
      <c r="N321">
        <f t="shared" si="25"/>
        <v>15.479999999999999</v>
      </c>
    </row>
    <row r="322" spans="3:14" x14ac:dyDescent="0.2">
      <c r="C322" s="5">
        <v>0</v>
      </c>
      <c r="D322" s="5">
        <v>38.75</v>
      </c>
      <c r="E322" s="5">
        <v>10.83</v>
      </c>
      <c r="F322" s="5">
        <v>26.88</v>
      </c>
      <c r="G322" s="5">
        <v>23.54</v>
      </c>
      <c r="H322" s="18">
        <f t="shared" si="21"/>
        <v>100</v>
      </c>
      <c r="K322">
        <f t="shared" si="22"/>
        <v>38.75</v>
      </c>
      <c r="L322">
        <f t="shared" si="23"/>
        <v>10.83</v>
      </c>
      <c r="M322">
        <f t="shared" si="24"/>
        <v>26.88</v>
      </c>
      <c r="N322">
        <f t="shared" si="25"/>
        <v>23.54</v>
      </c>
    </row>
    <row r="323" spans="3:14" x14ac:dyDescent="0.2">
      <c r="C323" s="5">
        <v>0</v>
      </c>
      <c r="D323" s="5">
        <v>42.86</v>
      </c>
      <c r="E323" s="5">
        <v>8.66</v>
      </c>
      <c r="F323" s="5">
        <v>28.84</v>
      </c>
      <c r="G323" s="5">
        <v>19.64</v>
      </c>
      <c r="H323" s="18">
        <f t="shared" ref="H323:H360" si="26">SUM(C323:G323)</f>
        <v>100</v>
      </c>
      <c r="K323">
        <f t="shared" ref="K323:K360" si="27">(D323/SUM($D323:$G323))*100</f>
        <v>42.86</v>
      </c>
      <c r="L323">
        <f t="shared" ref="L323:L360" si="28">(E323/SUM($D323:$G323))*100</f>
        <v>8.66</v>
      </c>
      <c r="M323">
        <f t="shared" ref="M323:M360" si="29">(F323/SUM($D323:$G323))*100</f>
        <v>28.84</v>
      </c>
      <c r="N323">
        <f t="shared" ref="N323:N360" si="30">(G323/SUM($D323:$G323))*100</f>
        <v>19.64</v>
      </c>
    </row>
    <row r="324" spans="3:14" x14ac:dyDescent="0.2">
      <c r="C324" s="5">
        <v>0</v>
      </c>
      <c r="D324" s="5">
        <v>40.71</v>
      </c>
      <c r="E324" s="5">
        <v>10.48</v>
      </c>
      <c r="F324" s="5">
        <v>26.47</v>
      </c>
      <c r="G324" s="5">
        <v>22.34</v>
      </c>
      <c r="H324" s="18">
        <f t="shared" si="26"/>
        <v>100</v>
      </c>
      <c r="K324">
        <f t="shared" si="27"/>
        <v>40.71</v>
      </c>
      <c r="L324">
        <f t="shared" si="28"/>
        <v>10.48</v>
      </c>
      <c r="M324">
        <f t="shared" si="29"/>
        <v>26.47</v>
      </c>
      <c r="N324">
        <f t="shared" si="30"/>
        <v>22.34</v>
      </c>
    </row>
    <row r="325" spans="3:14" x14ac:dyDescent="0.2">
      <c r="C325" s="5">
        <v>0</v>
      </c>
      <c r="D325" s="5">
        <v>45.97</v>
      </c>
      <c r="E325" s="5">
        <v>10.210000000000001</v>
      </c>
      <c r="F325" s="5">
        <v>24.61</v>
      </c>
      <c r="G325" s="5">
        <v>19.21</v>
      </c>
      <c r="H325" s="18">
        <f t="shared" si="26"/>
        <v>100</v>
      </c>
      <c r="K325">
        <f t="shared" si="27"/>
        <v>45.97</v>
      </c>
      <c r="L325">
        <f t="shared" si="28"/>
        <v>10.210000000000001</v>
      </c>
      <c r="M325">
        <f t="shared" si="29"/>
        <v>24.61</v>
      </c>
      <c r="N325">
        <f t="shared" si="30"/>
        <v>19.21</v>
      </c>
    </row>
    <row r="326" spans="3:14" x14ac:dyDescent="0.2">
      <c r="C326" s="5">
        <v>0</v>
      </c>
      <c r="D326" s="5">
        <v>39.11</v>
      </c>
      <c r="E326" s="5">
        <v>11.15</v>
      </c>
      <c r="F326" s="5">
        <v>25.869999999999997</v>
      </c>
      <c r="G326" s="5">
        <v>23.87</v>
      </c>
      <c r="H326" s="18">
        <f t="shared" si="26"/>
        <v>100</v>
      </c>
      <c r="K326">
        <f t="shared" si="27"/>
        <v>39.11</v>
      </c>
      <c r="L326">
        <f t="shared" si="28"/>
        <v>11.15</v>
      </c>
      <c r="M326">
        <f t="shared" si="29"/>
        <v>25.869999999999997</v>
      </c>
      <c r="N326">
        <f t="shared" si="30"/>
        <v>23.87</v>
      </c>
    </row>
    <row r="327" spans="3:14" x14ac:dyDescent="0.2">
      <c r="C327" s="5">
        <v>0</v>
      </c>
      <c r="D327" s="5">
        <v>40.519999999999996</v>
      </c>
      <c r="E327" s="5">
        <v>10.619999999999997</v>
      </c>
      <c r="F327" s="5">
        <v>23.319999999999997</v>
      </c>
      <c r="G327" s="5">
        <v>25.540000000000003</v>
      </c>
      <c r="H327" s="18">
        <f t="shared" si="26"/>
        <v>100</v>
      </c>
      <c r="K327">
        <f t="shared" si="27"/>
        <v>40.519999999999996</v>
      </c>
      <c r="L327">
        <f t="shared" si="28"/>
        <v>10.619999999999997</v>
      </c>
      <c r="M327">
        <f t="shared" si="29"/>
        <v>23.319999999999997</v>
      </c>
      <c r="N327">
        <f t="shared" si="30"/>
        <v>25.540000000000003</v>
      </c>
    </row>
    <row r="328" spans="3:14" x14ac:dyDescent="0.2">
      <c r="C328" s="5">
        <v>0</v>
      </c>
      <c r="D328" s="5">
        <v>44.52</v>
      </c>
      <c r="E328" s="5">
        <v>8.4499999999999993</v>
      </c>
      <c r="F328" s="5">
        <v>22.51</v>
      </c>
      <c r="G328" s="5">
        <v>24.52</v>
      </c>
      <c r="H328" s="18">
        <f t="shared" si="26"/>
        <v>100</v>
      </c>
      <c r="K328">
        <f t="shared" si="27"/>
        <v>44.52</v>
      </c>
      <c r="L328">
        <f t="shared" si="28"/>
        <v>8.4499999999999993</v>
      </c>
      <c r="M328">
        <f t="shared" si="29"/>
        <v>22.51</v>
      </c>
      <c r="N328">
        <f t="shared" si="30"/>
        <v>24.52</v>
      </c>
    </row>
    <row r="329" spans="3:14" x14ac:dyDescent="0.2">
      <c r="C329" s="5">
        <v>0</v>
      </c>
      <c r="D329" s="5">
        <v>37.25980784627702</v>
      </c>
      <c r="E329" s="5">
        <v>13.110488390712572</v>
      </c>
      <c r="F329" s="5">
        <v>28.512810248198562</v>
      </c>
      <c r="G329" s="5">
        <v>21.116893514811856</v>
      </c>
      <c r="H329" s="18">
        <f t="shared" si="26"/>
        <v>100</v>
      </c>
      <c r="K329">
        <f t="shared" si="27"/>
        <v>37.25980784627702</v>
      </c>
      <c r="L329">
        <f t="shared" si="28"/>
        <v>13.110488390712572</v>
      </c>
      <c r="M329">
        <f t="shared" si="29"/>
        <v>28.512810248198562</v>
      </c>
      <c r="N329">
        <f t="shared" si="30"/>
        <v>21.116893514811856</v>
      </c>
    </row>
    <row r="330" spans="3:14" x14ac:dyDescent="0.2">
      <c r="C330" s="5">
        <v>0</v>
      </c>
      <c r="D330" s="5">
        <v>7.2904496444904359</v>
      </c>
      <c r="E330" s="5">
        <v>76.185866408518876</v>
      </c>
      <c r="F330" s="5">
        <v>12.861768534900023</v>
      </c>
      <c r="G330" s="4">
        <v>3.6619154120906634</v>
      </c>
      <c r="H330" s="18">
        <f t="shared" si="26"/>
        <v>100</v>
      </c>
      <c r="K330">
        <f t="shared" si="27"/>
        <v>7.2904496444904359</v>
      </c>
      <c r="L330">
        <f t="shared" si="28"/>
        <v>76.185866408518876</v>
      </c>
      <c r="M330">
        <f t="shared" si="29"/>
        <v>12.861768534900023</v>
      </c>
      <c r="N330">
        <f t="shared" si="30"/>
        <v>3.6619154120906634</v>
      </c>
    </row>
    <row r="331" spans="3:14" x14ac:dyDescent="0.2">
      <c r="C331" s="5">
        <v>0</v>
      </c>
      <c r="D331" s="5">
        <v>7.6158009418710897</v>
      </c>
      <c r="E331" s="5">
        <v>78.734097139242294</v>
      </c>
      <c r="F331" s="5">
        <v>10.574963098334154</v>
      </c>
      <c r="G331" s="4">
        <v>3.0751388205524708</v>
      </c>
      <c r="H331" s="18">
        <f t="shared" si="26"/>
        <v>100</v>
      </c>
      <c r="K331">
        <f t="shared" si="27"/>
        <v>7.6158009418710897</v>
      </c>
      <c r="L331">
        <f t="shared" si="28"/>
        <v>78.734097139242294</v>
      </c>
      <c r="M331">
        <f t="shared" si="29"/>
        <v>10.574963098334154</v>
      </c>
      <c r="N331">
        <f t="shared" si="30"/>
        <v>3.0751388205524708</v>
      </c>
    </row>
    <row r="332" spans="3:14" x14ac:dyDescent="0.2">
      <c r="C332" s="5">
        <v>0</v>
      </c>
      <c r="D332" s="5">
        <v>7.3220634601194075</v>
      </c>
      <c r="E332" s="5">
        <v>75.984436841752199</v>
      </c>
      <c r="F332" s="5">
        <v>12.775877104715908</v>
      </c>
      <c r="G332" s="4">
        <v>3.9176225934124913</v>
      </c>
      <c r="H332" s="18">
        <f t="shared" si="26"/>
        <v>100</v>
      </c>
      <c r="K332">
        <f t="shared" si="27"/>
        <v>7.3220634601194075</v>
      </c>
      <c r="L332">
        <f t="shared" si="28"/>
        <v>75.984436841752199</v>
      </c>
      <c r="M332">
        <f t="shared" si="29"/>
        <v>12.775877104715908</v>
      </c>
      <c r="N332">
        <f t="shared" si="30"/>
        <v>3.9176225934124913</v>
      </c>
    </row>
    <row r="333" spans="3:14" x14ac:dyDescent="0.2">
      <c r="C333" s="5">
        <v>0</v>
      </c>
      <c r="D333" s="5">
        <v>7.9937603463644482</v>
      </c>
      <c r="E333" s="5">
        <v>74.041767477397187</v>
      </c>
      <c r="F333" s="5">
        <v>15.704189481726727</v>
      </c>
      <c r="G333" s="4">
        <v>2.2602826945116514</v>
      </c>
      <c r="H333" s="18">
        <f t="shared" si="26"/>
        <v>100.00000000000001</v>
      </c>
      <c r="K333">
        <f t="shared" si="27"/>
        <v>7.9937603463644464</v>
      </c>
      <c r="L333">
        <f t="shared" si="28"/>
        <v>74.041767477397187</v>
      </c>
      <c r="M333">
        <f t="shared" si="29"/>
        <v>15.704189481726724</v>
      </c>
      <c r="N333">
        <f t="shared" si="30"/>
        <v>2.2602826945116514</v>
      </c>
    </row>
    <row r="334" spans="3:14" x14ac:dyDescent="0.2">
      <c r="C334" s="5">
        <v>0</v>
      </c>
      <c r="D334" s="5">
        <v>7.9797518191724954</v>
      </c>
      <c r="E334" s="5">
        <v>76.405244841283789</v>
      </c>
      <c r="F334" s="5">
        <v>13.537455619221712</v>
      </c>
      <c r="G334" s="4">
        <v>2.0775477203220021</v>
      </c>
      <c r="H334" s="18">
        <f t="shared" si="26"/>
        <v>100</v>
      </c>
      <c r="K334">
        <f t="shared" si="27"/>
        <v>7.9797518191724954</v>
      </c>
      <c r="L334">
        <f t="shared" si="28"/>
        <v>76.405244841283789</v>
      </c>
      <c r="M334">
        <f t="shared" si="29"/>
        <v>13.537455619221712</v>
      </c>
      <c r="N334">
        <f t="shared" si="30"/>
        <v>2.0775477203220021</v>
      </c>
    </row>
    <row r="335" spans="3:14" x14ac:dyDescent="0.2">
      <c r="C335" s="5">
        <v>0</v>
      </c>
      <c r="D335" s="5">
        <v>41.834862385321109</v>
      </c>
      <c r="E335" s="5">
        <v>40.73394495412844</v>
      </c>
      <c r="F335" s="5">
        <v>7.8899082568807346</v>
      </c>
      <c r="G335" s="4">
        <v>9.5412844036697244</v>
      </c>
      <c r="H335" s="18">
        <f t="shared" si="26"/>
        <v>100</v>
      </c>
      <c r="K335">
        <f t="shared" si="27"/>
        <v>41.834862385321109</v>
      </c>
      <c r="L335">
        <f t="shared" si="28"/>
        <v>40.73394495412844</v>
      </c>
      <c r="M335">
        <f t="shared" si="29"/>
        <v>7.8899082568807346</v>
      </c>
      <c r="N335">
        <f t="shared" si="30"/>
        <v>9.5412844036697244</v>
      </c>
    </row>
    <row r="336" spans="3:14" x14ac:dyDescent="0.2">
      <c r="C336" s="5">
        <v>0</v>
      </c>
      <c r="D336" s="5">
        <v>48.900169204737729</v>
      </c>
      <c r="E336" s="5">
        <v>40.101522842639589</v>
      </c>
      <c r="F336" s="5">
        <v>7.4450084602368864</v>
      </c>
      <c r="G336" s="4">
        <v>3.5532994923857872</v>
      </c>
      <c r="H336" s="18">
        <f t="shared" si="26"/>
        <v>100</v>
      </c>
      <c r="K336">
        <f t="shared" si="27"/>
        <v>48.900169204737729</v>
      </c>
      <c r="L336">
        <f t="shared" si="28"/>
        <v>40.101522842639589</v>
      </c>
      <c r="M336">
        <f t="shared" si="29"/>
        <v>7.4450084602368864</v>
      </c>
      <c r="N336">
        <f t="shared" si="30"/>
        <v>3.5532994923857872</v>
      </c>
    </row>
    <row r="337" spans="3:14" x14ac:dyDescent="0.2">
      <c r="C337" s="5">
        <v>0</v>
      </c>
      <c r="D337" s="5">
        <v>47.97687861271676</v>
      </c>
      <c r="E337" s="5">
        <v>40.847784200385355</v>
      </c>
      <c r="F337" s="5">
        <v>7.8998073217726397</v>
      </c>
      <c r="G337" s="4">
        <v>3.2755298651252409</v>
      </c>
      <c r="H337" s="18">
        <f t="shared" si="26"/>
        <v>100</v>
      </c>
      <c r="K337">
        <f t="shared" si="27"/>
        <v>47.97687861271676</v>
      </c>
      <c r="L337">
        <f t="shared" si="28"/>
        <v>40.847784200385355</v>
      </c>
      <c r="M337">
        <f t="shared" si="29"/>
        <v>7.8998073217726397</v>
      </c>
      <c r="N337">
        <f t="shared" si="30"/>
        <v>3.2755298651252409</v>
      </c>
    </row>
    <row r="338" spans="3:14" x14ac:dyDescent="0.2">
      <c r="C338" s="5">
        <v>0</v>
      </c>
      <c r="D338" s="5">
        <v>44.360902255639097</v>
      </c>
      <c r="E338" s="5">
        <v>41.917293233082709</v>
      </c>
      <c r="F338" s="5">
        <v>7.1428571428571423</v>
      </c>
      <c r="G338" s="4">
        <v>6.5789473684210522</v>
      </c>
      <c r="H338" s="18">
        <f t="shared" si="26"/>
        <v>100</v>
      </c>
      <c r="K338">
        <f t="shared" si="27"/>
        <v>44.360902255639097</v>
      </c>
      <c r="L338">
        <f t="shared" si="28"/>
        <v>41.917293233082709</v>
      </c>
      <c r="M338">
        <f t="shared" si="29"/>
        <v>7.1428571428571423</v>
      </c>
      <c r="N338">
        <f t="shared" si="30"/>
        <v>6.5789473684210522</v>
      </c>
    </row>
    <row r="339" spans="3:14" x14ac:dyDescent="0.2">
      <c r="C339" s="5">
        <v>0</v>
      </c>
      <c r="D339" s="5">
        <v>50.080000000000005</v>
      </c>
      <c r="E339" s="5">
        <v>36.799999999999997</v>
      </c>
      <c r="F339" s="5">
        <v>8.64</v>
      </c>
      <c r="G339" s="4">
        <v>4.4799999999999986</v>
      </c>
      <c r="H339" s="18">
        <f t="shared" si="26"/>
        <v>100</v>
      </c>
      <c r="K339">
        <f t="shared" si="27"/>
        <v>50.080000000000005</v>
      </c>
      <c r="L339">
        <f t="shared" si="28"/>
        <v>36.799999999999997</v>
      </c>
      <c r="M339">
        <f t="shared" si="29"/>
        <v>8.64</v>
      </c>
      <c r="N339">
        <f t="shared" si="30"/>
        <v>4.4799999999999986</v>
      </c>
    </row>
    <row r="340" spans="3:14" x14ac:dyDescent="0.2">
      <c r="C340" s="5">
        <v>0</v>
      </c>
      <c r="D340" s="5">
        <v>51.107594936708857</v>
      </c>
      <c r="E340" s="5">
        <v>41.930379746835442</v>
      </c>
      <c r="F340" s="5">
        <v>4.4303797468354427</v>
      </c>
      <c r="G340" s="4">
        <v>2.5316455696202533</v>
      </c>
      <c r="H340" s="18">
        <f t="shared" si="26"/>
        <v>99.999999999999986</v>
      </c>
      <c r="K340">
        <f t="shared" si="27"/>
        <v>51.107594936708864</v>
      </c>
      <c r="L340">
        <f t="shared" si="28"/>
        <v>41.930379746835449</v>
      </c>
      <c r="M340">
        <f t="shared" si="29"/>
        <v>4.4303797468354427</v>
      </c>
      <c r="N340">
        <f t="shared" si="30"/>
        <v>2.5316455696202538</v>
      </c>
    </row>
    <row r="341" spans="3:14" x14ac:dyDescent="0.2">
      <c r="C341" s="5">
        <v>0</v>
      </c>
      <c r="D341" s="5">
        <v>49.705014749262531</v>
      </c>
      <c r="E341" s="5">
        <v>39.08554572271386</v>
      </c>
      <c r="F341" s="5">
        <v>4.7197640117994091</v>
      </c>
      <c r="G341" s="4">
        <v>6.4896755162241888</v>
      </c>
      <c r="H341" s="18">
        <f t="shared" si="26"/>
        <v>100</v>
      </c>
      <c r="K341">
        <f t="shared" si="27"/>
        <v>49.705014749262531</v>
      </c>
      <c r="L341">
        <f t="shared" si="28"/>
        <v>39.08554572271386</v>
      </c>
      <c r="M341">
        <f t="shared" si="29"/>
        <v>4.7197640117994091</v>
      </c>
      <c r="N341">
        <f t="shared" si="30"/>
        <v>6.4896755162241888</v>
      </c>
    </row>
    <row r="342" spans="3:14" x14ac:dyDescent="0.2">
      <c r="C342" s="5">
        <v>0</v>
      </c>
      <c r="D342" s="5">
        <v>50.713153724247221</v>
      </c>
      <c r="E342" s="5">
        <v>39.936608557844686</v>
      </c>
      <c r="F342" s="5">
        <v>5.0713153724247215</v>
      </c>
      <c r="G342" s="4">
        <v>4.2789223454833607</v>
      </c>
      <c r="H342" s="18">
        <f t="shared" si="26"/>
        <v>99.999999999999986</v>
      </c>
      <c r="K342">
        <f t="shared" si="27"/>
        <v>50.713153724247228</v>
      </c>
      <c r="L342">
        <f t="shared" si="28"/>
        <v>39.936608557844693</v>
      </c>
      <c r="M342">
        <f t="shared" si="29"/>
        <v>5.0713153724247224</v>
      </c>
      <c r="N342">
        <f t="shared" si="30"/>
        <v>4.2789223454833616</v>
      </c>
    </row>
    <row r="343" spans="3:14" x14ac:dyDescent="0.2">
      <c r="C343" s="5">
        <v>0</v>
      </c>
      <c r="D343" s="5">
        <v>51.270553064275035</v>
      </c>
      <c r="E343" s="5">
        <v>40.956651718983558</v>
      </c>
      <c r="F343" s="5">
        <v>5.2316890881913309</v>
      </c>
      <c r="G343" s="4">
        <v>2.5411061285500751</v>
      </c>
      <c r="H343" s="18">
        <f t="shared" si="26"/>
        <v>100</v>
      </c>
      <c r="K343">
        <f t="shared" si="27"/>
        <v>51.270553064275035</v>
      </c>
      <c r="L343">
        <f t="shared" si="28"/>
        <v>40.956651718983558</v>
      </c>
      <c r="M343">
        <f t="shared" si="29"/>
        <v>5.2316890881913309</v>
      </c>
      <c r="N343">
        <f t="shared" si="30"/>
        <v>2.5411061285500751</v>
      </c>
    </row>
    <row r="344" spans="3:14" x14ac:dyDescent="0.2">
      <c r="C344" s="5">
        <v>0</v>
      </c>
      <c r="D344" s="5">
        <v>50.534759358288774</v>
      </c>
      <c r="E344" s="5">
        <v>36.096256684491976</v>
      </c>
      <c r="F344" s="5">
        <v>5.0802139037433154</v>
      </c>
      <c r="G344" s="4">
        <v>8.2887700534759379</v>
      </c>
      <c r="H344" s="18">
        <f t="shared" si="26"/>
        <v>100</v>
      </c>
      <c r="K344">
        <f t="shared" si="27"/>
        <v>50.534759358288774</v>
      </c>
      <c r="L344">
        <f t="shared" si="28"/>
        <v>36.096256684491976</v>
      </c>
      <c r="M344">
        <f t="shared" si="29"/>
        <v>5.0802139037433154</v>
      </c>
      <c r="N344">
        <f t="shared" si="30"/>
        <v>8.2887700534759379</v>
      </c>
    </row>
    <row r="345" spans="3:14" x14ac:dyDescent="0.2">
      <c r="C345" s="5">
        <v>0</v>
      </c>
      <c r="D345" s="5">
        <v>52.211126961483586</v>
      </c>
      <c r="E345" s="5">
        <v>39.800285306704708</v>
      </c>
      <c r="F345" s="5">
        <v>3.2810271041369479</v>
      </c>
      <c r="G345" s="4">
        <v>4.7075606276747495</v>
      </c>
      <c r="H345" s="18">
        <f t="shared" si="26"/>
        <v>100</v>
      </c>
      <c r="K345">
        <f t="shared" si="27"/>
        <v>52.211126961483586</v>
      </c>
      <c r="L345">
        <f t="shared" si="28"/>
        <v>39.800285306704708</v>
      </c>
      <c r="M345">
        <f t="shared" si="29"/>
        <v>3.2810271041369479</v>
      </c>
      <c r="N345">
        <f t="shared" si="30"/>
        <v>4.7075606276747495</v>
      </c>
    </row>
    <row r="346" spans="3:14" x14ac:dyDescent="0.2">
      <c r="C346" s="5">
        <v>0</v>
      </c>
      <c r="D346" s="5">
        <v>54.227405247813408</v>
      </c>
      <c r="E346" s="5">
        <v>40.233236151603499</v>
      </c>
      <c r="F346" s="5">
        <v>3.2069970845481048</v>
      </c>
      <c r="G346" s="4">
        <v>2.3323615160349855</v>
      </c>
      <c r="H346" s="18">
        <f t="shared" si="26"/>
        <v>100</v>
      </c>
      <c r="K346">
        <f t="shared" si="27"/>
        <v>54.227405247813408</v>
      </c>
      <c r="L346">
        <f t="shared" si="28"/>
        <v>40.233236151603499</v>
      </c>
      <c r="M346">
        <f t="shared" si="29"/>
        <v>3.2069970845481048</v>
      </c>
      <c r="N346">
        <f t="shared" si="30"/>
        <v>2.3323615160349855</v>
      </c>
    </row>
    <row r="347" spans="3:14" x14ac:dyDescent="0.2">
      <c r="C347" s="5">
        <v>0</v>
      </c>
      <c r="D347" s="5">
        <v>51.959361393323668</v>
      </c>
      <c r="E347" s="5">
        <v>38.751814223512348</v>
      </c>
      <c r="F347" s="5">
        <v>3.628447024673441</v>
      </c>
      <c r="G347" s="4">
        <v>5.6603773584905674</v>
      </c>
      <c r="H347" s="18">
        <f t="shared" si="26"/>
        <v>100.00000000000001</v>
      </c>
      <c r="K347">
        <f t="shared" si="27"/>
        <v>51.959361393323654</v>
      </c>
      <c r="L347">
        <f t="shared" si="28"/>
        <v>38.751814223512341</v>
      </c>
      <c r="M347">
        <f t="shared" si="29"/>
        <v>3.6284470246734402</v>
      </c>
      <c r="N347">
        <f t="shared" si="30"/>
        <v>5.6603773584905666</v>
      </c>
    </row>
    <row r="348" spans="3:14" x14ac:dyDescent="0.2">
      <c r="C348" s="5">
        <v>0</v>
      </c>
      <c r="D348" s="5">
        <v>54.896907216494853</v>
      </c>
      <c r="E348" s="5">
        <v>38.015463917525771</v>
      </c>
      <c r="F348" s="12">
        <v>4.3814432989690717</v>
      </c>
      <c r="G348" s="4">
        <v>2.7061855670103094</v>
      </c>
      <c r="H348" s="18">
        <f t="shared" si="26"/>
        <v>100</v>
      </c>
      <c r="K348">
        <f t="shared" si="27"/>
        <v>54.896907216494853</v>
      </c>
      <c r="L348">
        <f t="shared" si="28"/>
        <v>38.015463917525771</v>
      </c>
      <c r="M348">
        <f t="shared" si="29"/>
        <v>4.3814432989690717</v>
      </c>
      <c r="N348">
        <f t="shared" si="30"/>
        <v>2.7061855670103094</v>
      </c>
    </row>
    <row r="349" spans="3:14" x14ac:dyDescent="0.2">
      <c r="C349" s="5">
        <v>0</v>
      </c>
      <c r="D349" s="5">
        <v>55.464480874316934</v>
      </c>
      <c r="E349" s="5">
        <v>37.158469945355186</v>
      </c>
      <c r="F349" s="5">
        <v>5.6010928961748627</v>
      </c>
      <c r="G349" s="4">
        <v>1.7759562841530054</v>
      </c>
      <c r="H349" s="18">
        <f t="shared" si="26"/>
        <v>100</v>
      </c>
      <c r="K349">
        <f t="shared" si="27"/>
        <v>55.464480874316934</v>
      </c>
      <c r="L349">
        <f t="shared" si="28"/>
        <v>37.158469945355186</v>
      </c>
      <c r="M349">
        <f t="shared" si="29"/>
        <v>5.6010928961748627</v>
      </c>
      <c r="N349">
        <f t="shared" si="30"/>
        <v>1.7759562841530054</v>
      </c>
    </row>
    <row r="350" spans="3:14" x14ac:dyDescent="0.2">
      <c r="C350" s="5">
        <v>0</v>
      </c>
      <c r="D350" s="5">
        <v>29.477234401349072</v>
      </c>
      <c r="E350" s="5">
        <v>33.187183811129849</v>
      </c>
      <c r="F350" s="5">
        <v>23.946037099494095</v>
      </c>
      <c r="G350" s="5">
        <v>13.389544688026984</v>
      </c>
      <c r="H350" s="18">
        <f t="shared" si="26"/>
        <v>100</v>
      </c>
      <c r="K350">
        <f t="shared" si="27"/>
        <v>29.477234401349072</v>
      </c>
      <c r="L350">
        <f t="shared" si="28"/>
        <v>33.187183811129849</v>
      </c>
      <c r="M350">
        <f t="shared" si="29"/>
        <v>23.946037099494095</v>
      </c>
      <c r="N350">
        <f t="shared" si="30"/>
        <v>13.389544688026984</v>
      </c>
    </row>
    <row r="351" spans="3:14" x14ac:dyDescent="0.2">
      <c r="C351" s="5">
        <v>0</v>
      </c>
      <c r="D351" s="5">
        <v>20.353982300884958</v>
      </c>
      <c r="E351" s="5">
        <v>26.84365781710914</v>
      </c>
      <c r="F351" s="5">
        <v>28.908554572271388</v>
      </c>
      <c r="G351" s="5">
        <v>23.89380530973451</v>
      </c>
      <c r="H351" s="18">
        <f t="shared" si="26"/>
        <v>100</v>
      </c>
      <c r="K351">
        <f t="shared" si="27"/>
        <v>20.353982300884958</v>
      </c>
      <c r="L351">
        <f t="shared" si="28"/>
        <v>26.84365781710914</v>
      </c>
      <c r="M351">
        <f t="shared" si="29"/>
        <v>28.908554572271388</v>
      </c>
      <c r="N351">
        <f t="shared" si="30"/>
        <v>23.89380530973451</v>
      </c>
    </row>
    <row r="352" spans="3:14" x14ac:dyDescent="0.2">
      <c r="C352" s="5">
        <v>0</v>
      </c>
      <c r="D352" s="5">
        <v>27.185840707964608</v>
      </c>
      <c r="E352" s="5">
        <v>33.592920353982301</v>
      </c>
      <c r="F352" s="5">
        <v>25.486725663716815</v>
      </c>
      <c r="G352" s="5">
        <v>13.734513274336283</v>
      </c>
      <c r="H352" s="18">
        <f t="shared" si="26"/>
        <v>100</v>
      </c>
      <c r="K352">
        <f t="shared" si="27"/>
        <v>27.185840707964608</v>
      </c>
      <c r="L352">
        <f t="shared" si="28"/>
        <v>33.592920353982301</v>
      </c>
      <c r="M352">
        <f t="shared" si="29"/>
        <v>25.486725663716815</v>
      </c>
      <c r="N352">
        <f t="shared" si="30"/>
        <v>13.734513274336283</v>
      </c>
    </row>
    <row r="353" spans="3:14" x14ac:dyDescent="0.2">
      <c r="C353" s="5">
        <v>0</v>
      </c>
      <c r="D353" s="5">
        <v>21.223021582733811</v>
      </c>
      <c r="E353" s="5">
        <v>27.338129496402875</v>
      </c>
      <c r="F353" s="5">
        <v>32.014388489208628</v>
      </c>
      <c r="G353" s="5">
        <v>19.424460431654676</v>
      </c>
      <c r="H353" s="18">
        <f t="shared" si="26"/>
        <v>99.999999999999986</v>
      </c>
      <c r="K353">
        <f t="shared" si="27"/>
        <v>21.223021582733814</v>
      </c>
      <c r="L353">
        <f t="shared" si="28"/>
        <v>27.338129496402878</v>
      </c>
      <c r="M353">
        <f t="shared" si="29"/>
        <v>32.014388489208635</v>
      </c>
      <c r="N353">
        <f t="shared" si="30"/>
        <v>19.42446043165468</v>
      </c>
    </row>
    <row r="354" spans="3:14" x14ac:dyDescent="0.2">
      <c r="C354" s="14">
        <v>0</v>
      </c>
      <c r="D354" s="5">
        <v>54.227229291354426</v>
      </c>
      <c r="E354" s="5">
        <v>23.929990444097974</v>
      </c>
      <c r="F354" s="5">
        <v>18.508273399386411</v>
      </c>
      <c r="G354" s="5">
        <v>3.3345068651611931</v>
      </c>
      <c r="H354" s="18">
        <f t="shared" si="26"/>
        <v>100</v>
      </c>
      <c r="K354">
        <f t="shared" si="27"/>
        <v>54.227229291354426</v>
      </c>
      <c r="L354">
        <f t="shared" si="28"/>
        <v>23.929990444097974</v>
      </c>
      <c r="M354">
        <f t="shared" si="29"/>
        <v>18.508273399386411</v>
      </c>
      <c r="N354">
        <f t="shared" si="30"/>
        <v>3.3345068651611931</v>
      </c>
    </row>
    <row r="355" spans="3:14" x14ac:dyDescent="0.2">
      <c r="C355" s="5">
        <v>0</v>
      </c>
      <c r="D355" s="5">
        <v>51.634403616552682</v>
      </c>
      <c r="E355" s="5">
        <v>20.76040338472238</v>
      </c>
      <c r="F355" s="5">
        <v>21.815231250724469</v>
      </c>
      <c r="G355" s="5">
        <v>5.7899617480004633</v>
      </c>
      <c r="H355" s="18">
        <f t="shared" si="26"/>
        <v>100</v>
      </c>
      <c r="K355">
        <f t="shared" si="27"/>
        <v>51.634403616552682</v>
      </c>
      <c r="L355">
        <f t="shared" si="28"/>
        <v>20.76040338472238</v>
      </c>
      <c r="M355">
        <f t="shared" si="29"/>
        <v>21.815231250724469</v>
      </c>
      <c r="N355">
        <f t="shared" si="30"/>
        <v>5.7899617480004633</v>
      </c>
    </row>
    <row r="356" spans="3:14" x14ac:dyDescent="0.2">
      <c r="C356" s="5">
        <v>0</v>
      </c>
      <c r="D356" s="5">
        <v>54.827658901654907</v>
      </c>
      <c r="E356" s="5">
        <v>17.086539475071145</v>
      </c>
      <c r="F356" s="5">
        <v>22.562453884262677</v>
      </c>
      <c r="G356" s="5">
        <v>5.5233477390112782</v>
      </c>
      <c r="H356" s="18">
        <f t="shared" si="26"/>
        <v>100</v>
      </c>
      <c r="K356">
        <f t="shared" si="27"/>
        <v>54.827658901654907</v>
      </c>
      <c r="L356">
        <f t="shared" si="28"/>
        <v>17.086539475071145</v>
      </c>
      <c r="M356">
        <f t="shared" si="29"/>
        <v>22.562453884262677</v>
      </c>
      <c r="N356">
        <f t="shared" si="30"/>
        <v>5.5233477390112782</v>
      </c>
    </row>
    <row r="357" spans="3:14" x14ac:dyDescent="0.2">
      <c r="C357" s="5">
        <v>0</v>
      </c>
      <c r="D357" s="5">
        <v>56.476258283586176</v>
      </c>
      <c r="E357" s="5">
        <v>16.731474889095786</v>
      </c>
      <c r="F357" s="5">
        <v>21.282655128977488</v>
      </c>
      <c r="G357" s="5">
        <v>5.5096116983405441</v>
      </c>
      <c r="H357" s="18">
        <f t="shared" si="26"/>
        <v>100.00000000000001</v>
      </c>
      <c r="K357">
        <f t="shared" si="27"/>
        <v>56.476258283586169</v>
      </c>
      <c r="L357">
        <f t="shared" si="28"/>
        <v>16.731474889095786</v>
      </c>
      <c r="M357">
        <f t="shared" si="29"/>
        <v>21.282655128977485</v>
      </c>
      <c r="N357">
        <f t="shared" si="30"/>
        <v>5.5096116983405432</v>
      </c>
    </row>
    <row r="358" spans="3:14" x14ac:dyDescent="0.2">
      <c r="C358" s="5">
        <v>0</v>
      </c>
      <c r="D358" s="5">
        <v>54.986182866754774</v>
      </c>
      <c r="E358" s="5">
        <v>21.374504385437941</v>
      </c>
      <c r="F358" s="5">
        <v>18.743241619608312</v>
      </c>
      <c r="G358" s="5">
        <v>4.8960711281989662</v>
      </c>
      <c r="H358" s="18">
        <f t="shared" si="26"/>
        <v>100</v>
      </c>
      <c r="K358">
        <f t="shared" si="27"/>
        <v>54.986182866754774</v>
      </c>
      <c r="L358">
        <f t="shared" si="28"/>
        <v>21.374504385437941</v>
      </c>
      <c r="M358">
        <f t="shared" si="29"/>
        <v>18.743241619608312</v>
      </c>
      <c r="N358">
        <f t="shared" si="30"/>
        <v>4.8960711281989662</v>
      </c>
    </row>
    <row r="359" spans="3:14" x14ac:dyDescent="0.2">
      <c r="C359" s="5">
        <v>0</v>
      </c>
      <c r="D359" s="5">
        <v>56.634432466708937</v>
      </c>
      <c r="E359" s="5">
        <v>15.940076093849086</v>
      </c>
      <c r="F359" s="5">
        <v>22.04343690551681</v>
      </c>
      <c r="G359" s="5">
        <v>5.3820545339251771</v>
      </c>
      <c r="H359" s="18">
        <f t="shared" si="26"/>
        <v>100.00000000000001</v>
      </c>
      <c r="K359">
        <f t="shared" si="27"/>
        <v>56.63443246670893</v>
      </c>
      <c r="L359">
        <f t="shared" si="28"/>
        <v>15.940076093849084</v>
      </c>
      <c r="M359">
        <f t="shared" si="29"/>
        <v>22.043436905516806</v>
      </c>
      <c r="N359">
        <f t="shared" si="30"/>
        <v>5.3820545339251762</v>
      </c>
    </row>
    <row r="360" spans="3:14" x14ac:dyDescent="0.2">
      <c r="C360" s="5">
        <v>0</v>
      </c>
      <c r="D360" s="5">
        <v>58.44061751100709</v>
      </c>
      <c r="E360" s="5">
        <v>17.042857939029147</v>
      </c>
      <c r="F360" s="5">
        <v>20.069107730033998</v>
      </c>
      <c r="G360" s="5">
        <v>4.4474168199297779</v>
      </c>
      <c r="H360" s="18">
        <f t="shared" si="26"/>
        <v>100</v>
      </c>
      <c r="K360">
        <f t="shared" si="27"/>
        <v>58.44061751100709</v>
      </c>
      <c r="L360">
        <f t="shared" si="28"/>
        <v>17.042857939029147</v>
      </c>
      <c r="M360">
        <f t="shared" si="29"/>
        <v>20.069107730033998</v>
      </c>
      <c r="N360">
        <f>(G360/SUM($D360:$G360))*100</f>
        <v>4.4474168199297779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sindy puerto vargas</dc:creator>
  <cp:lastModifiedBy>Sindy Dayana Puerto Vargas</cp:lastModifiedBy>
  <dcterms:created xsi:type="dcterms:W3CDTF">2026-03-26T21:56:41Z</dcterms:created>
  <dcterms:modified xsi:type="dcterms:W3CDTF">2026-06-30T01:08:44Z</dcterms:modified>
</cp:coreProperties>
</file>